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00_Index" sheetId="1" state="visible" r:id="rId1"/>
    <sheet name="S34_Portfolio_Dashboard" sheetId="2" state="visible" r:id="rId2"/>
    <sheet name="S33_Portfolio_Register" sheetId="3" state="visible" r:id="rId3"/>
    <sheet name="S35_Portfolio_Prioritization" sheetId="4" state="visible" r:id="rId4"/>
    <sheet name="S01_Disclaimer_Assumptions" sheetId="5" state="visible" r:id="rId5"/>
    <sheet name="S02_Equipment_Portfolio" sheetId="6" state="visible" r:id="rId6"/>
    <sheet name="S03_Supplier_Dataset" sheetId="7" state="visible" r:id="rId7"/>
    <sheet name="S04_Should_Cost_Model" sheetId="8" state="visible" r:id="rId8"/>
    <sheet name="S05_TCO_Downtime_Model" sheetId="9" state="visible" r:id="rId9"/>
    <sheet name="S06_WBS" sheetId="10" state="visible" r:id="rId10"/>
    <sheet name="S07_CPM_Master_Schedule" sheetId="11" state="visible" r:id="rId11"/>
    <sheet name="S08_Program_Milestone_Roadmap" sheetId="12" state="visible" r:id="rId12"/>
    <sheet name="S09_Deployment_Timeline" sheetId="13" state="visible" r:id="rId13"/>
    <sheet name="S10_Capacity_Planning" sheetId="14" state="visible" r:id="rId14"/>
    <sheet name="S11_Demand_Forecast" sheetId="15" state="visible" r:id="rId15"/>
    <sheet name="S12_AR_Summary" sheetId="16" state="visible" r:id="rId16"/>
    <sheet name="S13_Scenario_Analysis" sheetId="17" state="visible" r:id="rId17"/>
    <sheet name="S14_CashFlow_Model" sheetId="18" state="visible" r:id="rId18"/>
    <sheet name="S15_FX_Exposure_Model" sheetId="19" state="visible" r:id="rId19"/>
    <sheet name="S16_Supply_Chain_Risk" sheetId="20" state="visible" r:id="rId20"/>
    <sheet name="S17_Supply_Market_Analysis" sheetId="21" state="visible" r:id="rId21"/>
    <sheet name="S18_Supply_Chain_Network" sheetId="22" state="visible" r:id="rId22"/>
    <sheet name="S19_Strategic_Sourcing_Pipeline" sheetId="23" state="visible" r:id="rId23"/>
    <sheet name="S20_Dual_MultiSource_Strategy" sheetId="24" state="visible" r:id="rId24"/>
    <sheet name="S21_Negotiation_Tracker" sheetId="25" state="visible" r:id="rId25"/>
    <sheet name="S22_Capacity_Supplier_Facing" sheetId="26" state="visible" r:id="rId26"/>
    <sheet name="S23_Inventory_Buffer_Planning" sheetId="27" state="visible" r:id="rId27"/>
    <sheet name="S24_Asset_Tracking" sheetId="28" state="visible" r:id="rId28"/>
    <sheet name="S25_Milestone_Gate_Tracker" sheetId="29" state="visible" r:id="rId29"/>
    <sheet name="S26_Engineering_Change_Orders" sheetId="30" state="visible" r:id="rId30"/>
    <sheet name="S27_Vendor_Design_Changes" sheetId="31" state="visible" r:id="rId31"/>
    <sheet name="S28_Yield_Production_Metrics" sheetId="32" state="visible" r:id="rId32"/>
    <sheet name="S29_Equipment_ROI_Tracker" sheetId="33" state="visible" r:id="rId33"/>
    <sheet name="S30_Executive_Dashboard" sheetId="34" state="visible" r:id="rId34"/>
    <sheet name="S31_Vendor_Scorecard" sheetId="35" state="visible" r:id="rId35"/>
    <sheet name="S32_Change_Tracker" sheetId="36" state="visible" r:id="rId36"/>
  </sheets>
  <definedNames/>
  <calcPr calcId="124519" fullCalcOnLoad="1"/>
</workbook>
</file>

<file path=xl/styles.xml><?xml version="1.0" encoding="utf-8"?>
<styleSheet xmlns="http://schemas.openxmlformats.org/spreadsheetml/2006/main">
  <numFmts count="4">
    <numFmt numFmtId="164" formatCode="0.0%"/>
    <numFmt numFmtId="165" formatCode="&quot;$&quot;#,##0.00"/>
    <numFmt numFmtId="166" formatCode="&quot;$&quot;#,##0"/>
    <numFmt numFmtId="167" formatCode="0.0&quot; yrs&quot;"/>
  </numFmts>
  <fonts count="18">
    <font>
      <name val="Calibri"/>
      <family val="2"/>
      <color theme="1"/>
      <sz val="11"/>
      <scheme val="minor"/>
    </font>
    <font>
      <name val="Calibri"/>
      <b val="1"/>
      <color rgb="00FFFFFF"/>
      <sz val="16"/>
    </font>
    <font>
      <name val="Calibri"/>
      <i val="1"/>
      <color rgb="00404040"/>
      <sz val="10"/>
    </font>
    <font>
      <i val="1"/>
      <color rgb="00808080"/>
      <sz val="9"/>
    </font>
    <font>
      <name val="Calibri"/>
      <b val="1"/>
      <color rgb="00FFFFFF"/>
      <sz val="12"/>
    </font>
    <font>
      <name val="Calibri"/>
      <b val="1"/>
      <color rgb="00FFFFFF"/>
      <sz val="11"/>
    </font>
    <font>
      <color rgb="000000FF"/>
    </font>
    <font>
      <color rgb="00008000"/>
    </font>
    <font>
      <b val="1"/>
    </font>
    <font>
      <i val="1"/>
      <sz val="9"/>
    </font>
    <font>
      <b val="1"/>
      <color rgb="00006100"/>
    </font>
    <font>
      <b val="1"/>
      <color rgb="00FFFFFF"/>
      <sz val="9"/>
    </font>
    <font>
      <b val="1"/>
      <color rgb="001F4E78"/>
      <sz val="16"/>
    </font>
    <font>
      <i val="1"/>
      <color rgb="00666666"/>
      <sz val="8"/>
    </font>
    <font>
      <i val="1"/>
      <color rgb="00808080"/>
      <sz val="8"/>
    </font>
    <font>
      <b val="1"/>
      <color rgb="00FFFFFF"/>
    </font>
    <font>
      <color rgb="000000FF"/>
      <u val="single"/>
    </font>
    <font>
      <b val="1"/>
      <color rgb="000E6655"/>
      <sz val="16"/>
    </font>
  </fonts>
  <fills count="23">
    <fill>
      <patternFill/>
    </fill>
    <fill>
      <patternFill patternType="gray125"/>
    </fill>
    <fill>
      <patternFill patternType="solid">
        <fgColor rgb="00808080"/>
      </patternFill>
    </fill>
    <fill>
      <patternFill patternType="solid">
        <fgColor rgb="00C6EFCE"/>
      </patternFill>
    </fill>
    <fill>
      <patternFill patternType="solid">
        <fgColor rgb="00FFEB9C"/>
      </patternFill>
    </fill>
    <fill>
      <patternFill patternType="solid">
        <fgColor rgb="001F4E78"/>
      </patternFill>
    </fill>
    <fill>
      <patternFill patternType="solid">
        <fgColor rgb="00D9E6F2"/>
      </patternFill>
    </fill>
    <fill>
      <patternFill patternType="solid">
        <fgColor rgb="002E7D32"/>
      </patternFill>
    </fill>
    <fill>
      <patternFill patternType="solid">
        <fgColor rgb="00DCEEDC"/>
      </patternFill>
    </fill>
    <fill>
      <patternFill patternType="solid">
        <fgColor rgb="00FFC7CE"/>
      </patternFill>
    </fill>
    <fill>
      <patternFill patternType="solid">
        <fgColor rgb="00DDEBF7"/>
      </patternFill>
    </fill>
    <fill>
      <patternFill patternType="solid">
        <fgColor rgb="00F2F2F2"/>
      </patternFill>
    </fill>
    <fill>
      <patternFill patternType="solid">
        <fgColor rgb="00E67E22"/>
      </patternFill>
    </fill>
    <fill>
      <patternFill patternType="solid">
        <fgColor rgb="00FCE4CC"/>
      </patternFill>
    </fill>
    <fill>
      <patternFill patternType="solid">
        <fgColor rgb="006A1B9A"/>
      </patternFill>
    </fill>
    <fill>
      <patternFill patternType="solid">
        <fgColor rgb="00E6D9F0"/>
      </patternFill>
    </fill>
    <fill>
      <patternFill patternType="solid">
        <fgColor rgb="00C0392B"/>
      </patternFill>
    </fill>
    <fill>
      <patternFill patternType="solid">
        <fgColor rgb="00FFF2CC"/>
      </patternFill>
    </fill>
    <fill>
      <patternFill patternType="solid">
        <fgColor rgb="00A9D18E"/>
      </patternFill>
    </fill>
    <fill>
      <patternFill patternType="solid">
        <fgColor rgb="0016A085"/>
      </patternFill>
    </fill>
    <fill>
      <patternFill patternType="solid">
        <fgColor rgb="00D9D9D9"/>
      </patternFill>
    </fill>
    <fill>
      <patternFill patternType="solid">
        <fgColor rgb="00F5D6D2"/>
      </patternFill>
    </fill>
    <fill>
      <patternFill patternType="solid">
        <fgColor rgb="00D2F1EA"/>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1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0" borderId="0" applyAlignment="1" pivotButton="0" quotePrefix="0" xfId="0">
      <alignment horizontal="left" vertical="center" wrapText="1"/>
    </xf>
    <xf numFmtId="0" fontId="4" fillId="2" borderId="0" applyAlignment="1" pivotButton="0" quotePrefix="0" xfId="0">
      <alignment horizontal="left" vertical="center" indent="1"/>
    </xf>
    <xf numFmtId="0" fontId="5" fillId="2" borderId="1" applyAlignment="1" pivotButton="0" quotePrefix="0" xfId="0">
      <alignment horizontal="center" vertical="center" wrapText="1"/>
    </xf>
    <xf numFmtId="0" fontId="0" fillId="0" borderId="1" pivotButton="0" quotePrefix="0" xfId="0"/>
    <xf numFmtId="0" fontId="15" fillId="2" borderId="1" pivotButton="0" quotePrefix="0" xfId="0"/>
    <xf numFmtId="0" fontId="0" fillId="0" borderId="1" applyAlignment="1" pivotButton="0" quotePrefix="0" xfId="0">
      <alignment horizontal="left" vertical="center" wrapText="1"/>
    </xf>
    <xf numFmtId="0" fontId="15" fillId="5" borderId="1" pivotButton="0" quotePrefix="0" xfId="0"/>
    <xf numFmtId="0" fontId="15" fillId="7" borderId="1" pivotButton="0" quotePrefix="0" xfId="0"/>
    <xf numFmtId="0" fontId="15" fillId="12" borderId="1" pivotButton="0" quotePrefix="0" xfId="0"/>
    <xf numFmtId="0" fontId="15" fillId="14" borderId="1" pivotButton="0" quotePrefix="0" xfId="0"/>
    <xf numFmtId="0" fontId="15" fillId="16" borderId="1" pivotButton="0" quotePrefix="0" xfId="0"/>
    <xf numFmtId="0" fontId="15" fillId="19" borderId="1" pivotButton="0" quotePrefix="0" xfId="0"/>
    <xf numFmtId="0" fontId="16" fillId="0" borderId="1" pivotButton="0" quotePrefix="0" xfId="0"/>
    <xf numFmtId="0" fontId="0" fillId="20" borderId="1" pivotButton="0" quotePrefix="0" xfId="0"/>
    <xf numFmtId="0" fontId="0" fillId="6" borderId="1" pivotButton="0" quotePrefix="0" xfId="0"/>
    <xf numFmtId="0" fontId="0" fillId="8" borderId="1" pivotButton="0" quotePrefix="0" xfId="0"/>
    <xf numFmtId="0" fontId="0" fillId="13" borderId="1" pivotButton="0" quotePrefix="0" xfId="0"/>
    <xf numFmtId="0" fontId="0" fillId="15" borderId="1" pivotButton="0" quotePrefix="0" xfId="0"/>
    <xf numFmtId="0" fontId="0" fillId="21" borderId="1" pivotButton="0" quotePrefix="0" xfId="0"/>
    <xf numFmtId="0" fontId="0" fillId="22" borderId="1" pivotButton="0" quotePrefix="0" xfId="0"/>
    <xf numFmtId="0" fontId="1" fillId="19" borderId="0" applyAlignment="1" pivotButton="0" quotePrefix="0" xfId="0">
      <alignment horizontal="left" vertical="center" indent="1"/>
    </xf>
    <xf numFmtId="0" fontId="4" fillId="19" borderId="0" applyAlignment="1" pivotButton="0" quotePrefix="0" xfId="0">
      <alignment horizontal="left" vertical="center" indent="1"/>
    </xf>
    <xf numFmtId="0" fontId="11" fillId="19" borderId="1" applyAlignment="1" pivotButton="0" quotePrefix="0" xfId="0">
      <alignment horizontal="center" vertical="center" wrapText="1"/>
    </xf>
    <xf numFmtId="3" fontId="17" fillId="11" borderId="1" applyAlignment="1" pivotButton="0" quotePrefix="0" xfId="0">
      <alignment horizontal="center" vertical="center" wrapText="1"/>
    </xf>
    <xf numFmtId="166" fontId="17" fillId="11" borderId="1" applyAlignment="1" pivotButton="0" quotePrefix="0" xfId="0">
      <alignment horizontal="center" vertical="center" wrapText="1"/>
    </xf>
    <xf numFmtId="4" fontId="17" fillId="11" borderId="1" applyAlignment="1" pivotButton="0" quotePrefix="0" xfId="0">
      <alignment horizontal="center" vertical="center" wrapText="1"/>
    </xf>
    <xf numFmtId="0" fontId="13" fillId="0" borderId="1" applyAlignment="1" pivotButton="0" quotePrefix="0" xfId="0">
      <alignment horizontal="center" vertical="center" wrapText="1"/>
    </xf>
    <xf numFmtId="0" fontId="5" fillId="19" borderId="1" applyAlignment="1" pivotButton="0" quotePrefix="0" xfId="0">
      <alignment horizontal="center" vertical="center" wrapText="1"/>
    </xf>
    <xf numFmtId="166" fontId="0" fillId="0" borderId="1" pivotButton="0" quotePrefix="0" xfId="0"/>
    <xf numFmtId="164" fontId="0" fillId="0" borderId="1" pivotButton="0" quotePrefix="0" xfId="0"/>
    <xf numFmtId="4" fontId="0" fillId="0" borderId="1" pivotButton="0" quotePrefix="0" xfId="0"/>
    <xf numFmtId="0" fontId="8" fillId="22" borderId="1" pivotButton="0" quotePrefix="0" xfId="0"/>
    <xf numFmtId="166" fontId="8" fillId="22" borderId="1" pivotButton="0" quotePrefix="0" xfId="0"/>
    <xf numFmtId="164" fontId="8" fillId="22" borderId="1" pivotButton="0" quotePrefix="0" xfId="0"/>
    <xf numFmtId="4" fontId="8" fillId="22" borderId="1" pivotButton="0" quotePrefix="0" xfId="0"/>
    <xf numFmtId="0" fontId="0" fillId="0" borderId="0" applyAlignment="1" pivotButton="0" quotePrefix="0" xfId="0">
      <alignment horizontal="left" vertical="center" wrapText="1"/>
    </xf>
    <xf numFmtId="0" fontId="8" fillId="0" borderId="1" pivotButton="0" quotePrefix="0" xfId="0"/>
    <xf numFmtId="0" fontId="0" fillId="3" borderId="1" pivotButton="0" quotePrefix="0" xfId="0"/>
    <xf numFmtId="166" fontId="7" fillId="0" borderId="1" pivotButton="0" quotePrefix="0" xfId="0"/>
    <xf numFmtId="164" fontId="7" fillId="0" borderId="1" pivotButton="0" quotePrefix="0" xfId="0"/>
    <xf numFmtId="0" fontId="6" fillId="0" borderId="1" pivotButton="0" quotePrefix="0" xfId="0"/>
    <xf numFmtId="4" fontId="7" fillId="0" borderId="1" pivotButton="0" quotePrefix="0" xfId="0"/>
    <xf numFmtId="0" fontId="7" fillId="0" borderId="1" pivotButton="0" quotePrefix="0" xfId="0"/>
    <xf numFmtId="0" fontId="0" fillId="4" borderId="1" pivotButton="0" quotePrefix="0" xfId="0"/>
    <xf numFmtId="164" fontId="6" fillId="0" borderId="1" pivotButton="0" quotePrefix="0" xfId="0"/>
    <xf numFmtId="166" fontId="6" fillId="0" borderId="1" pivotButton="0" quotePrefix="0" xfId="0"/>
    <xf numFmtId="3" fontId="8" fillId="0" borderId="1" pivotButton="0" quotePrefix="0" xfId="0"/>
    <xf numFmtId="166" fontId="8" fillId="0" borderId="1" pivotButton="0" quotePrefix="0" xfId="0"/>
    <xf numFmtId="4" fontId="8" fillId="0" borderId="1" pivotButton="0" quotePrefix="0" xfId="0"/>
    <xf numFmtId="165" fontId="6" fillId="0" borderId="1" pivotButton="0" quotePrefix="0" xfId="0"/>
    <xf numFmtId="0" fontId="1" fillId="5" borderId="0" applyAlignment="1" pivotButton="0" quotePrefix="0" xfId="0">
      <alignment horizontal="left" vertical="center" indent="1"/>
    </xf>
    <xf numFmtId="0" fontId="5" fillId="5" borderId="1" applyAlignment="1" pivotButton="0" quotePrefix="0" xfId="0">
      <alignment horizontal="center" vertical="center" wrapText="1"/>
    </xf>
    <xf numFmtId="0" fontId="6" fillId="0" borderId="1" applyAlignment="1" pivotButton="0" quotePrefix="0" xfId="0">
      <alignment horizontal="center" vertical="center" wrapText="1"/>
    </xf>
    <xf numFmtId="0" fontId="8" fillId="6" borderId="1" pivotButton="0" quotePrefix="0" xfId="0"/>
    <xf numFmtId="166" fontId="8" fillId="6" borderId="1" pivotButton="0" quotePrefix="0" xfId="0"/>
    <xf numFmtId="0" fontId="4" fillId="5" borderId="0" applyAlignment="1" pivotButton="0" quotePrefix="0" xfId="0">
      <alignment horizontal="left" vertical="center" indent="1"/>
    </xf>
    <xf numFmtId="165" fontId="0" fillId="0" borderId="1" pivotButton="0" quotePrefix="0" xfId="0"/>
    <xf numFmtId="165" fontId="7" fillId="0" borderId="1" pivotButton="0" quotePrefix="0" xfId="0"/>
    <xf numFmtId="164" fontId="8" fillId="6" borderId="1" pivotButton="0" quotePrefix="0" xfId="0"/>
    <xf numFmtId="164" fontId="7" fillId="0" borderId="0" pivotButton="0" quotePrefix="0" xfId="0"/>
    <xf numFmtId="165" fontId="7" fillId="0" borderId="0" pivotButton="0" quotePrefix="0" xfId="0"/>
    <xf numFmtId="166" fontId="7" fillId="0" borderId="0" pivotButton="0" quotePrefix="0" xfId="0"/>
    <xf numFmtId="3" fontId="6" fillId="0" borderId="1" pivotButton="0" quotePrefix="0" xfId="0"/>
    <xf numFmtId="3" fontId="0" fillId="0" borderId="1" pivotButton="0" quotePrefix="0" xfId="0"/>
    <xf numFmtId="0" fontId="8" fillId="5" borderId="0" applyAlignment="1" pivotButton="0" quotePrefix="0" xfId="0">
      <alignment horizontal="left" vertical="center" indent="1"/>
    </xf>
    <xf numFmtId="166" fontId="0" fillId="6" borderId="1" pivotButton="0" quotePrefix="0" xfId="0"/>
    <xf numFmtId="0" fontId="1" fillId="7" borderId="0" applyAlignment="1" pivotButton="0" quotePrefix="0" xfId="0">
      <alignment horizontal="left" vertical="center" indent="1"/>
    </xf>
    <xf numFmtId="0" fontId="5" fillId="7" borderId="1" applyAlignment="1" pivotButton="0" quotePrefix="0" xfId="0">
      <alignment horizontal="center" vertical="center" wrapText="1"/>
    </xf>
    <xf numFmtId="0" fontId="8" fillId="8" borderId="1" pivotButton="0" quotePrefix="0" xfId="0"/>
    <xf numFmtId="0" fontId="0" fillId="8" borderId="1" applyAlignment="1" pivotButton="0" quotePrefix="0" xfId="0">
      <alignment horizontal="left" vertical="center" wrapText="1"/>
    </xf>
    <xf numFmtId="0" fontId="0" fillId="9" borderId="1" pivotButton="0" quotePrefix="0" xfId="0"/>
    <xf numFmtId="0" fontId="4" fillId="7" borderId="0" applyAlignment="1" pivotButton="0" quotePrefix="0" xfId="0">
      <alignment horizontal="left" vertical="center" indent="1"/>
    </xf>
    <xf numFmtId="0" fontId="0" fillId="10" borderId="1" pivotButton="0" quotePrefix="0" xfId="0"/>
    <xf numFmtId="0" fontId="0" fillId="11" borderId="1" pivotButton="0" quotePrefix="0" xfId="0"/>
    <xf numFmtId="164" fontId="0" fillId="0" borderId="0" pivotButton="0" quotePrefix="0" xfId="0"/>
    <xf numFmtId="3" fontId="6" fillId="0" borderId="0" pivotButton="0" quotePrefix="0" xfId="0"/>
    <xf numFmtId="3" fontId="0" fillId="0" borderId="0" pivotButton="0" quotePrefix="0" xfId="0"/>
    <xf numFmtId="3" fontId="8" fillId="0" borderId="0" pivotButton="0" quotePrefix="0" xfId="0"/>
    <xf numFmtId="3" fontId="8" fillId="8" borderId="1" pivotButton="0" quotePrefix="0" xfId="0"/>
    <xf numFmtId="0" fontId="1" fillId="12" borderId="0" applyAlignment="1" pivotButton="0" quotePrefix="0" xfId="0">
      <alignment horizontal="left" vertical="center" indent="1"/>
    </xf>
    <xf numFmtId="0" fontId="4" fillId="12" borderId="0" applyAlignment="1" pivotButton="0" quotePrefix="0" xfId="0">
      <alignment horizontal="left" vertical="center" indent="1"/>
    </xf>
    <xf numFmtId="0" fontId="5" fillId="12" borderId="1" applyAlignment="1" pivotButton="0" quotePrefix="0" xfId="0">
      <alignment horizontal="center" vertical="center" wrapText="1"/>
    </xf>
    <xf numFmtId="0" fontId="8" fillId="13" borderId="1" pivotButton="0" quotePrefix="0" xfId="0"/>
    <xf numFmtId="166" fontId="8" fillId="13" borderId="1" pivotButton="0" quotePrefix="0" xfId="0"/>
    <xf numFmtId="164" fontId="8" fillId="13" borderId="1" pivotButton="0" quotePrefix="0" xfId="0"/>
    <xf numFmtId="0" fontId="9" fillId="0" borderId="0" applyAlignment="1" pivotButton="0" quotePrefix="0" xfId="0">
      <alignment horizontal="left" vertical="center" wrapText="1"/>
    </xf>
    <xf numFmtId="167" fontId="6" fillId="0" borderId="1" pivotButton="0" quotePrefix="0" xfId="0"/>
    <xf numFmtId="0" fontId="10" fillId="0" borderId="0" pivotButton="0" quotePrefix="0" xfId="0"/>
    <xf numFmtId="4" fontId="6" fillId="0" borderId="1" pivotButton="0" quotePrefix="0" xfId="0"/>
    <xf numFmtId="4" fontId="8" fillId="13" borderId="1" pivotButton="0" quotePrefix="0" xfId="0"/>
    <xf numFmtId="4" fontId="7" fillId="0" borderId="0" pivotButton="0" quotePrefix="0" xfId="0"/>
    <xf numFmtId="3" fontId="7" fillId="0" borderId="1" pivotButton="0" quotePrefix="0" xfId="0"/>
    <xf numFmtId="0" fontId="1" fillId="14" borderId="0" applyAlignment="1" pivotButton="0" quotePrefix="0" xfId="0">
      <alignment horizontal="left" vertical="center" indent="1"/>
    </xf>
    <xf numFmtId="0" fontId="5" fillId="14" borderId="1" applyAlignment="1" pivotButton="0" quotePrefix="0" xfId="0">
      <alignment horizontal="center" vertical="center" wrapText="1"/>
    </xf>
    <xf numFmtId="0" fontId="6" fillId="4" borderId="1" pivotButton="0" quotePrefix="0" xfId="0"/>
    <xf numFmtId="0" fontId="6" fillId="9" borderId="1" pivotButton="0" quotePrefix="0" xfId="0"/>
    <xf numFmtId="0" fontId="6" fillId="3" borderId="1" pivotButton="0" quotePrefix="0" xfId="0"/>
    <xf numFmtId="0" fontId="4" fillId="14" borderId="0" applyAlignment="1" pivotButton="0" quotePrefix="0" xfId="0">
      <alignment horizontal="left" vertical="center" indent="1"/>
    </xf>
    <xf numFmtId="164" fontId="8" fillId="0" borderId="1" pivotButton="0" quotePrefix="0" xfId="0"/>
    <xf numFmtId="0" fontId="8" fillId="15" borderId="1" pivotButton="0" quotePrefix="0" xfId="0"/>
    <xf numFmtId="166" fontId="8" fillId="15" borderId="1" pivotButton="0" quotePrefix="0" xfId="0"/>
    <xf numFmtId="0" fontId="1" fillId="16" borderId="0" applyAlignment="1" pivotButton="0" quotePrefix="0" xfId="0">
      <alignment horizontal="left" vertical="center" indent="1"/>
    </xf>
    <xf numFmtId="0" fontId="4" fillId="16" borderId="0" applyAlignment="1" pivotButton="0" quotePrefix="0" xfId="0">
      <alignment horizontal="left" vertical="center" indent="1"/>
    </xf>
    <xf numFmtId="0" fontId="5" fillId="16" borderId="1" applyAlignment="1" pivotButton="0" quotePrefix="0" xfId="0">
      <alignment horizontal="center" vertical="center" wrapText="1"/>
    </xf>
    <xf numFmtId="0" fontId="0" fillId="17" borderId="1" pivotButton="0" quotePrefix="0" xfId="0"/>
    <xf numFmtId="0" fontId="11" fillId="2" borderId="1" applyAlignment="1" pivotButton="0" quotePrefix="0" xfId="0">
      <alignment horizontal="center" vertical="center" wrapText="1"/>
    </xf>
    <xf numFmtId="166" fontId="12" fillId="11" borderId="1" applyAlignment="1" pivotButton="0" quotePrefix="0" xfId="0">
      <alignment horizontal="center" vertical="center" wrapText="1"/>
    </xf>
    <xf numFmtId="164" fontId="12" fillId="11" borderId="1" applyAlignment="1" pivotButton="0" quotePrefix="0" xfId="0">
      <alignment horizontal="center" vertical="center" wrapText="1"/>
    </xf>
    <xf numFmtId="3" fontId="12" fillId="11" borderId="1" applyAlignment="1" pivotButton="0" quotePrefix="0" xfId="0">
      <alignment horizontal="center" vertical="center" wrapText="1"/>
    </xf>
    <xf numFmtId="4" fontId="12" fillId="11" borderId="1" applyAlignment="1" pivotButton="0" quotePrefix="0" xfId="0">
      <alignment horizontal="center" vertical="center" wrapText="1"/>
    </xf>
    <xf numFmtId="0" fontId="14" fillId="0" borderId="0" pivotButton="0" quotePrefix="0" xfId="0"/>
    <xf numFmtId="0" fontId="0" fillId="18" borderId="1" pivotButton="0" quotePrefix="0" xfId="0"/>
  </cellXfs>
  <cellStyles count="1">
    <cellStyle name="Normal" xfId="0" builtinId="0" hidden="0"/>
  </cellStyles>
  <dxfs count="4">
    <dxf>
      <fill>
        <patternFill patternType="solid">
          <fgColor rgb="00FFC7CE"/>
        </patternFill>
      </fill>
    </dxf>
    <dxf>
      <fill>
        <patternFill patternType="solid">
          <fgColor rgb="00FFD9B3"/>
        </patternFill>
      </fill>
    </dxf>
    <dxf>
      <fill>
        <patternFill patternType="solid">
          <fgColor rgb="00FFEB9C"/>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styles" Target="styles.xml" Id="rId37" /><Relationship Type="http://schemas.openxmlformats.org/officeDocument/2006/relationships/theme" Target="theme/theme1.xml" Id="rId3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00_Index'!A1" TargetMode="External" Id="rId1" /><Relationship Type="http://schemas.openxmlformats.org/officeDocument/2006/relationships/hyperlink" Target="#'S01_Disclaimer_Assumptions'!A1" TargetMode="External" Id="rId2" /><Relationship Type="http://schemas.openxmlformats.org/officeDocument/2006/relationships/hyperlink" Target="#'S02_Equipment_Portfolio'!A1" TargetMode="External" Id="rId3" /><Relationship Type="http://schemas.openxmlformats.org/officeDocument/2006/relationships/hyperlink" Target="#'S03_Supplier_Dataset'!A1" TargetMode="External" Id="rId4" /><Relationship Type="http://schemas.openxmlformats.org/officeDocument/2006/relationships/hyperlink" Target="#'S04_Should_Cost_Model'!A1" TargetMode="External" Id="rId5" /><Relationship Type="http://schemas.openxmlformats.org/officeDocument/2006/relationships/hyperlink" Target="#'S05_TCO_Downtime_Model'!A1" TargetMode="External" Id="rId6" /><Relationship Type="http://schemas.openxmlformats.org/officeDocument/2006/relationships/hyperlink" Target="#'S06_WBS'!A1" TargetMode="External" Id="rId7" /><Relationship Type="http://schemas.openxmlformats.org/officeDocument/2006/relationships/hyperlink" Target="#'S07_CPM_Master_Schedule'!A1" TargetMode="External" Id="rId8" /><Relationship Type="http://schemas.openxmlformats.org/officeDocument/2006/relationships/hyperlink" Target="#'S08_Program_Milestone_Roadmap'!A1" TargetMode="External" Id="rId9" /><Relationship Type="http://schemas.openxmlformats.org/officeDocument/2006/relationships/hyperlink" Target="#'S09_Deployment_Timeline'!A1" TargetMode="External" Id="rId10" /><Relationship Type="http://schemas.openxmlformats.org/officeDocument/2006/relationships/hyperlink" Target="#'S10_Capacity_Planning'!A1" TargetMode="External" Id="rId11" /><Relationship Type="http://schemas.openxmlformats.org/officeDocument/2006/relationships/hyperlink" Target="#'S11_Demand_Forecast'!A1" TargetMode="External" Id="rId12" /><Relationship Type="http://schemas.openxmlformats.org/officeDocument/2006/relationships/hyperlink" Target="#'S12_AR_Summary'!A1" TargetMode="External" Id="rId13" /><Relationship Type="http://schemas.openxmlformats.org/officeDocument/2006/relationships/hyperlink" Target="#'S13_Scenario_Analysis'!A1" TargetMode="External" Id="rId14" /><Relationship Type="http://schemas.openxmlformats.org/officeDocument/2006/relationships/hyperlink" Target="#'S14_CashFlow_Model'!A1" TargetMode="External" Id="rId15" /><Relationship Type="http://schemas.openxmlformats.org/officeDocument/2006/relationships/hyperlink" Target="#'S15_FX_Exposure_Model'!A1" TargetMode="External" Id="rId16" /><Relationship Type="http://schemas.openxmlformats.org/officeDocument/2006/relationships/hyperlink" Target="#'S16_Supply_Chain_Risk'!A1" TargetMode="External" Id="rId17" /><Relationship Type="http://schemas.openxmlformats.org/officeDocument/2006/relationships/hyperlink" Target="#'S17_Supply_Market_Analysis'!A1" TargetMode="External" Id="rId18" /><Relationship Type="http://schemas.openxmlformats.org/officeDocument/2006/relationships/hyperlink" Target="#'S18_Supply_Chain_Network'!A1" TargetMode="External" Id="rId19" /><Relationship Type="http://schemas.openxmlformats.org/officeDocument/2006/relationships/hyperlink" Target="#'S19_Strategic_Sourcing_Pipeline'!A1" TargetMode="External" Id="rId20" /><Relationship Type="http://schemas.openxmlformats.org/officeDocument/2006/relationships/hyperlink" Target="#'S20_Dual_MultiSource_Strategy'!A1" TargetMode="External" Id="rId21" /><Relationship Type="http://schemas.openxmlformats.org/officeDocument/2006/relationships/hyperlink" Target="#'S21_Negotiation_Tracker'!A1" TargetMode="External" Id="rId22" /><Relationship Type="http://schemas.openxmlformats.org/officeDocument/2006/relationships/hyperlink" Target="#'S22_Capacity_Supplier_Facing'!A1" TargetMode="External" Id="rId23" /><Relationship Type="http://schemas.openxmlformats.org/officeDocument/2006/relationships/hyperlink" Target="#'S23_Inventory_Buffer_Planning'!A1" TargetMode="External" Id="rId24" /><Relationship Type="http://schemas.openxmlformats.org/officeDocument/2006/relationships/hyperlink" Target="#'S24_Asset_Tracking'!A1" TargetMode="External" Id="rId25" /><Relationship Type="http://schemas.openxmlformats.org/officeDocument/2006/relationships/hyperlink" Target="#'S25_Milestone_Gate_Tracker'!A1" TargetMode="External" Id="rId26" /><Relationship Type="http://schemas.openxmlformats.org/officeDocument/2006/relationships/hyperlink" Target="#'S26_Engineering_Change_Orders'!A1" TargetMode="External" Id="rId27" /><Relationship Type="http://schemas.openxmlformats.org/officeDocument/2006/relationships/hyperlink" Target="#'S27_Vendor_Design_Changes'!A1" TargetMode="External" Id="rId28" /><Relationship Type="http://schemas.openxmlformats.org/officeDocument/2006/relationships/hyperlink" Target="#'S28_Yield_Production_Metrics'!A1" TargetMode="External" Id="rId29" /><Relationship Type="http://schemas.openxmlformats.org/officeDocument/2006/relationships/hyperlink" Target="#'S29_Equipment_ROI_Tracker'!A1" TargetMode="External" Id="rId30" /><Relationship Type="http://schemas.openxmlformats.org/officeDocument/2006/relationships/hyperlink" Target="#'S30_Executive_Dashboard'!A1" TargetMode="External" Id="rId31" /><Relationship Type="http://schemas.openxmlformats.org/officeDocument/2006/relationships/hyperlink" Target="#'S31_Vendor_Scorecard'!A1" TargetMode="External" Id="rId32" /><Relationship Type="http://schemas.openxmlformats.org/officeDocument/2006/relationships/hyperlink" Target="#'S32_Change_Tracker'!A1" TargetMode="External" Id="rId33" /><Relationship Type="http://schemas.openxmlformats.org/officeDocument/2006/relationships/hyperlink" Target="#'S33_Portfolio_Register'!A1" TargetMode="External" Id="rId34" /><Relationship Type="http://schemas.openxmlformats.org/officeDocument/2006/relationships/hyperlink" Target="#'S34_Portfolio_Dashboard'!A1" TargetMode="External" Id="rId35" /><Relationship Type="http://schemas.openxmlformats.org/officeDocument/2006/relationships/hyperlink" Target="#'S35_Portfolio_Prioritization'!A1" TargetMode="External" Id="rId36" /></Relationships>
</file>

<file path=xl/worksheets/sheet1.xml><?xml version="1.0" encoding="utf-8"?>
<worksheet xmlns="http://schemas.openxmlformats.org/spreadsheetml/2006/main">
  <sheetPr>
    <tabColor rgb="00808080"/>
    <outlinePr summaryBelow="1" summaryRight="1"/>
    <pageSetUpPr/>
  </sheetPr>
  <dimension ref="A1:F53"/>
  <sheetViews>
    <sheetView workbookViewId="0">
      <selection activeCell="A1" sqref="A1"/>
    </sheetView>
  </sheetViews>
  <sheetFormatPr baseColWidth="8" defaultRowHeight="15"/>
  <cols>
    <col width="8" customWidth="1" min="1" max="1"/>
    <col width="32" customWidth="1" min="2" max="2"/>
    <col width="9" customWidth="1" min="3" max="3"/>
    <col width="11" customWidth="1" min="4" max="4"/>
    <col width="52" customWidth="1" min="5" max="5"/>
    <col width="40" customWidth="1" min="6" max="6"/>
  </cols>
  <sheetData>
    <row r="1" ht="26" customHeight="1">
      <c r="A1" s="1" t="inlineStr">
        <is>
          <t>S00 — WORKBOOK INDEX — Greenfield Expansion Phase II · CapEx &amp; Supply Chain Portfolio Model</t>
        </is>
      </c>
    </row>
    <row r="2" ht="15" customHeight="1">
      <c r="A2" s="2" t="inlineStr">
        <is>
          <t>Prepared by: Sourabh Tarodekar | Contact: sourabh232@gmail.com | Purpose: Portfolio demonstration of Engineering Program Management – CapEx &amp; Supply Chain Operations</t>
        </is>
      </c>
    </row>
    <row r="4">
      <c r="A4" s="3" t="inlineStr">
        <is>
          <t>This workbook contains synthetic sample data created for portfolio demonstration purposes only. The data does not represent proprietary or confidential information from any employer or client.</t>
        </is>
      </c>
    </row>
    <row r="6" ht="18" customHeight="1">
      <c r="A6" s="4" t="inlineStr">
        <is>
          <t>ZONE LEGEND — TAB COLOR GUIDE</t>
        </is>
      </c>
    </row>
    <row r="7" ht="30" customHeight="1">
      <c r="A7" s="5" t="inlineStr">
        <is>
          <t>Zone</t>
        </is>
      </c>
      <c r="B7" s="5" t="inlineStr">
        <is>
          <t>Color</t>
        </is>
      </c>
      <c r="C7" s="5" t="inlineStr">
        <is>
          <t>Category</t>
        </is>
      </c>
      <c r="D7" s="5" t="inlineStr">
        <is>
          <t>Purpose</t>
        </is>
      </c>
    </row>
    <row r="8">
      <c r="A8" s="6" t="inlineStr">
        <is>
          <t>Zone 0</t>
        </is>
      </c>
      <c r="B8" s="7" t="inlineStr">
        <is>
          <t>Gray</t>
        </is>
      </c>
      <c r="C8" s="6" t="inlineStr">
        <is>
          <t>Navigation &amp; Governance</t>
        </is>
      </c>
      <c r="D8" s="8" t="inlineStr">
        <is>
          <t>Index, Disclaimer &amp; Assumptions, version control</t>
        </is>
      </c>
    </row>
    <row r="9">
      <c r="A9" s="6" t="inlineStr">
        <is>
          <t>Zone 1</t>
        </is>
      </c>
      <c r="B9" s="9" t="inlineStr">
        <is>
          <t>Blue</t>
        </is>
      </c>
      <c r="C9" s="6" t="inlineStr">
        <is>
          <t>Program Foundation</t>
        </is>
      </c>
      <c r="D9" s="8" t="inlineStr">
        <is>
          <t>Equipment portfolio, supplier data, should-cost, TCO</t>
        </is>
      </c>
    </row>
    <row r="10">
      <c r="A10" s="6" t="inlineStr">
        <is>
          <t>Zone 2</t>
        </is>
      </c>
      <c r="B10" s="10" t="inlineStr">
        <is>
          <t>Green</t>
        </is>
      </c>
      <c r="C10" s="6" t="inlineStr">
        <is>
          <t>Planning &amp; Scheduling</t>
        </is>
      </c>
      <c r="D10" s="8" t="inlineStr">
        <is>
          <t>WBS, CPM, Milestone Roadmap, deployment, capacity, demand forecast</t>
        </is>
      </c>
    </row>
    <row r="11">
      <c r="A11" s="6" t="inlineStr">
        <is>
          <t>Zone 3</t>
        </is>
      </c>
      <c r="B11" s="11" t="inlineStr">
        <is>
          <t>Orange</t>
        </is>
      </c>
      <c r="C11" s="6" t="inlineStr">
        <is>
          <t>Financial &amp; Risk</t>
        </is>
      </c>
      <c r="D11" s="8" t="inlineStr">
        <is>
          <t>AR, cash flow, FX, scenario analysis, supply chain risk</t>
        </is>
      </c>
    </row>
    <row r="12">
      <c r="A12" s="6" t="inlineStr">
        <is>
          <t>Zone 4</t>
        </is>
      </c>
      <c r="B12" s="12" t="inlineStr">
        <is>
          <t>Purple</t>
        </is>
      </c>
      <c r="C12" s="6" t="inlineStr">
        <is>
          <t>Strategic Supply Chain</t>
        </is>
      </c>
      <c r="D12" s="8" t="inlineStr">
        <is>
          <t>Market analysis, network, sourcing, dual-source, negotiation, inventory, assets</t>
        </is>
      </c>
    </row>
    <row r="13">
      <c r="A13" s="6" t="inlineStr">
        <is>
          <t>Zone 5</t>
        </is>
      </c>
      <c r="B13" s="13" t="inlineStr">
        <is>
          <t>Red</t>
        </is>
      </c>
      <c r="C13" s="6" t="inlineStr">
        <is>
          <t>Execution &amp; Control</t>
        </is>
      </c>
      <c r="D13" s="8" t="inlineStr">
        <is>
          <t>Gates, ECO, VDC, yield metrics, ROI tracker, scorecard, change tracker</t>
        </is>
      </c>
    </row>
    <row r="14">
      <c r="A14" s="6" t="inlineStr">
        <is>
          <t>Zone 6</t>
        </is>
      </c>
      <c r="B14" s="14" t="inlineStr">
        <is>
          <t>Teal</t>
        </is>
      </c>
      <c r="C14" s="6" t="inlineStr">
        <is>
          <t>Portfolio &amp; Capital Allocation</t>
        </is>
      </c>
      <c r="D14" s="8" t="inlineStr">
        <is>
          <t>Multi-program register, portfolio dashboard, prioritization scorecard</t>
        </is>
      </c>
    </row>
    <row r="16" ht="18" customHeight="1">
      <c r="A16" s="4" t="inlineStr">
        <is>
          <t>SHEET DIRECTORY</t>
        </is>
      </c>
    </row>
    <row r="17" ht="30" customHeight="1">
      <c r="A17" s="5" t="inlineStr">
        <is>
          <t>Sheet #</t>
        </is>
      </c>
      <c r="B17" s="5" t="inlineStr">
        <is>
          <t>Sheet Name (click to navigate)</t>
        </is>
      </c>
      <c r="C17" s="5" t="inlineStr">
        <is>
          <t>Zone</t>
        </is>
      </c>
      <c r="D17" s="5" t="inlineStr">
        <is>
          <t>Status</t>
        </is>
      </c>
      <c r="E17" s="5" t="inlineStr">
        <is>
          <t>What This Sheet Demonstrates</t>
        </is>
      </c>
      <c r="F17" s="5" t="inlineStr">
        <is>
          <t>Key Metrics / Outputs</t>
        </is>
      </c>
    </row>
    <row r="18">
      <c r="A18" s="6" t="inlineStr">
        <is>
          <t>S00</t>
        </is>
      </c>
      <c r="B18" s="15" t="inlineStr">
        <is>
          <t>S00_Index</t>
        </is>
      </c>
      <c r="C18" s="16" t="inlineStr">
        <is>
          <t>Zone 0</t>
        </is>
      </c>
      <c r="D18" s="6" t="inlineStr">
        <is>
          <t>New</t>
        </is>
      </c>
      <c r="E18" s="8" t="inlineStr">
        <is>
          <t>Workbook navigation, zone guide, sheet directory</t>
        </is>
      </c>
      <c r="F18" s="8" t="inlineStr">
        <is>
          <t>This page</t>
        </is>
      </c>
    </row>
    <row r="19">
      <c r="A19" s="6" t="inlineStr">
        <is>
          <t>S01</t>
        </is>
      </c>
      <c r="B19" s="15" t="inlineStr">
        <is>
          <t>S01_Disclaimer_Assumptions</t>
        </is>
      </c>
      <c r="C19" s="16" t="inlineStr">
        <is>
          <t>Zone 0</t>
        </is>
      </c>
      <c r="D19" s="6" t="inlineStr">
        <is>
          <t>Revised</t>
        </is>
      </c>
      <c r="E19" s="8" t="inlineStr">
        <is>
          <t>Portfolio disclaimer, global model assumptions, version control</t>
        </is>
      </c>
      <c r="F19" s="8" t="inlineStr">
        <is>
          <t>WACC=8%, Uptime=92%, FX rates, version log</t>
        </is>
      </c>
    </row>
    <row r="20">
      <c r="A20" s="6" t="inlineStr">
        <is>
          <t>S02</t>
        </is>
      </c>
      <c r="B20" s="15" t="inlineStr">
        <is>
          <t>S02_Equipment_Portfolio</t>
        </is>
      </c>
      <c r="C20" s="17" t="inlineStr">
        <is>
          <t>Zone 1</t>
        </is>
      </c>
      <c r="D20" s="6" t="inlineStr">
        <is>
          <t>Revised</t>
        </is>
      </c>
      <c r="E20" s="8" t="inlineStr">
        <is>
          <t>Master equipment dataset for 2 programs (PRG-001, PRG-002) — costs, energy, throughput</t>
        </is>
      </c>
      <c r="F20" s="8" t="inlineStr">
        <is>
          <t>$13.87M + $2.38M CapEx across 21 platforms</t>
        </is>
      </c>
    </row>
    <row r="21">
      <c r="A21" s="6" t="inlineStr">
        <is>
          <t>S03</t>
        </is>
      </c>
      <c r="B21" s="15" t="inlineStr">
        <is>
          <t>S03_Supplier_Dataset</t>
        </is>
      </c>
      <c r="C21" s="17" t="inlineStr">
        <is>
          <t>Zone 1</t>
        </is>
      </c>
      <c r="D21" s="6" t="inlineStr">
        <is>
          <t>Revised</t>
        </is>
      </c>
      <c r="E21" s="8" t="inlineStr">
        <is>
          <t>Supplier lead times, reliability scores, risk tiers across both programs</t>
        </is>
      </c>
      <c r="F21" s="8" t="inlineStr">
        <is>
          <t>21 OEMs; Program ID column for portfolio rollups</t>
        </is>
      </c>
    </row>
    <row r="22">
      <c r="A22" s="6" t="inlineStr">
        <is>
          <t>S04</t>
        </is>
      </c>
      <c r="B22" s="15" t="inlineStr">
        <is>
          <t>S04_Should_Cost_Model</t>
        </is>
      </c>
      <c r="C22" s="17" t="inlineStr">
        <is>
          <t>Zone 1</t>
        </is>
      </c>
      <c r="D22" s="6" t="inlineStr">
        <is>
          <t>Preserved</t>
        </is>
      </c>
      <c r="E22" s="8" t="inlineStr">
        <is>
          <t>First-principles should-cost by material, labour, OH, margin</t>
        </is>
      </c>
      <c r="F22" s="8" t="inlineStr">
        <is>
          <t>Should-cost vs quote variance analysis</t>
        </is>
      </c>
    </row>
    <row r="23">
      <c r="A23" s="6" t="inlineStr">
        <is>
          <t>S05</t>
        </is>
      </c>
      <c r="B23" s="15" t="inlineStr">
        <is>
          <t>S05_TCO_Downtime_Model</t>
        </is>
      </c>
      <c r="C23" s="17" t="inlineStr">
        <is>
          <t>Zone 1</t>
        </is>
      </c>
      <c r="D23" s="6" t="inlineStr">
        <is>
          <t>Preserved</t>
        </is>
      </c>
      <c r="E23" s="8" t="inlineStr">
        <is>
          <t>10-year TCO, energy, maintenance, downtime cost comparison</t>
        </is>
      </c>
      <c r="F23" s="8" t="inlineStr">
        <is>
          <t>NPV-based lifecycle cost comparison</t>
        </is>
      </c>
    </row>
    <row r="24">
      <c r="A24" s="6" t="inlineStr">
        <is>
          <t>S06</t>
        </is>
      </c>
      <c r="B24" s="15" t="inlineStr">
        <is>
          <t>S06_WBS</t>
        </is>
      </c>
      <c r="C24" s="18" t="inlineStr">
        <is>
          <t>Zone 2</t>
        </is>
      </c>
      <c r="D24" s="6" t="inlineStr">
        <is>
          <t>New</t>
        </is>
      </c>
      <c r="E24" s="8" t="inlineStr">
        <is>
          <t>Work Breakdown Structure — all program workstreams and tasks</t>
        </is>
      </c>
      <c r="F24" s="8" t="inlineStr">
        <is>
          <t>8 workstreams, 60+ work packages</t>
        </is>
      </c>
    </row>
    <row r="25">
      <c r="A25" s="6" t="inlineStr">
        <is>
          <t>S07</t>
        </is>
      </c>
      <c r="B25" s="15" t="inlineStr">
        <is>
          <t>S07_CPM_Master_Schedule</t>
        </is>
      </c>
      <c r="C25" s="18" t="inlineStr">
        <is>
          <t>Zone 2</t>
        </is>
      </c>
      <c r="D25" s="6" t="inlineStr">
        <is>
          <t>New</t>
        </is>
      </c>
      <c r="E25" s="8" t="inlineStr">
        <is>
          <t>Critical Path Method schedule — activities, float, predecessors</t>
        </is>
      </c>
      <c r="F25" s="8" t="inlineStr">
        <is>
          <t>Critical path = 46 weeks; 39 activities</t>
        </is>
      </c>
    </row>
    <row r="26">
      <c r="A26" s="6" t="inlineStr">
        <is>
          <t>S08</t>
        </is>
      </c>
      <c r="B26" s="15" t="inlineStr">
        <is>
          <t>S08_Program_Milestone_Roadmap</t>
        </is>
      </c>
      <c r="C26" s="18" t="inlineStr">
        <is>
          <t>Zone 2</t>
        </is>
      </c>
      <c r="D26" s="6" t="inlineStr">
        <is>
          <t>New</t>
        </is>
      </c>
      <c r="E26" s="8" t="inlineStr">
        <is>
          <t>Visual Gantt-style program roadmap — recruiter-friendly view</t>
        </is>
      </c>
      <c r="F26" s="8" t="inlineStr">
        <is>
          <t>G0 to G5 gates, Apr-2025 to Dec-2025</t>
        </is>
      </c>
    </row>
    <row r="27">
      <c r="A27" s="6" t="inlineStr">
        <is>
          <t>S09</t>
        </is>
      </c>
      <c r="B27" s="15" t="inlineStr">
        <is>
          <t>S09_Deployment_Timeline</t>
        </is>
      </c>
      <c r="C27" s="18" t="inlineStr">
        <is>
          <t>Zone 2</t>
        </is>
      </c>
      <c r="D27" s="6" t="inlineStr">
        <is>
          <t>Revised</t>
        </is>
      </c>
      <c r="E27" s="8" t="inlineStr">
        <is>
          <t>Equipment-level deployment schedule by workstream</t>
        </is>
      </c>
      <c r="F27" s="8" t="inlineStr">
        <is>
          <t>46-week program; 6 critical-path items</t>
        </is>
      </c>
    </row>
    <row r="28">
      <c r="A28" s="6" t="inlineStr">
        <is>
          <t>S10</t>
        </is>
      </c>
      <c r="B28" s="15" t="inlineStr">
        <is>
          <t>S10_Capacity_Planning</t>
        </is>
      </c>
      <c r="C28" s="18" t="inlineStr">
        <is>
          <t>Zone 2</t>
        </is>
      </c>
      <c r="D28" s="6" t="inlineStr">
        <is>
          <t>Revised</t>
        </is>
      </c>
      <c r="E28" s="8" t="inlineStr">
        <is>
          <t>Equipment capacity model — throughput, utilization, bottleneck ID</t>
        </is>
      </c>
      <c r="F28" s="8" t="inlineStr">
        <is>
          <t>1,040K units/yr capacity; 72.1% utilization</t>
        </is>
      </c>
    </row>
    <row r="29">
      <c r="A29" s="6" t="inlineStr">
        <is>
          <t>S11</t>
        </is>
      </c>
      <c r="B29" s="15" t="inlineStr">
        <is>
          <t>S11_Demand_Forecast</t>
        </is>
      </c>
      <c r="C29" s="18" t="inlineStr">
        <is>
          <t>Zone 2</t>
        </is>
      </c>
      <c r="D29" s="6" t="inlineStr">
        <is>
          <t>New</t>
        </is>
      </c>
      <c r="E29" s="8" t="inlineStr">
        <is>
          <t>Time-series demand forecast with scenario banding and accuracy tracking</t>
        </is>
      </c>
      <c r="F29" s="8" t="inlineStr">
        <is>
          <t>750K baseline; 2023-2025 ramp model</t>
        </is>
      </c>
    </row>
    <row r="30">
      <c r="A30" s="6" t="inlineStr">
        <is>
          <t>S12</t>
        </is>
      </c>
      <c r="B30" s="15" t="inlineStr">
        <is>
          <t>S12_AR_Summary</t>
        </is>
      </c>
      <c r="C30" s="19" t="inlineStr">
        <is>
          <t>Zone 3</t>
        </is>
      </c>
      <c r="D30" s="6" t="inlineStr">
        <is>
          <t>Revised</t>
        </is>
      </c>
      <c r="E30" s="8" t="inlineStr">
        <is>
          <t>Formal capital appropriations request — Phase II budget &amp; approval</t>
        </is>
      </c>
      <c r="F30" s="8" t="inlineStr">
        <is>
          <t>$16.062M AR; 14.2% IRR; 4.2yr payback</t>
        </is>
      </c>
    </row>
    <row r="31">
      <c r="A31" s="6" t="inlineStr">
        <is>
          <t>S13</t>
        </is>
      </c>
      <c r="B31" s="15" t="inlineStr">
        <is>
          <t>S13_Scenario_Analysis</t>
        </is>
      </c>
      <c r="C31" s="19" t="inlineStr">
        <is>
          <t>Zone 3</t>
        </is>
      </c>
      <c r="D31" s="6" t="inlineStr">
        <is>
          <t>Revised</t>
        </is>
      </c>
      <c r="E31" s="8" t="inlineStr">
        <is>
          <t>Scenario A/B/C comparison — CapEx, OpEx, NPV tradeoffs</t>
        </is>
      </c>
      <c r="F31" s="8" t="inlineStr">
        <is>
          <t>Scenario B recommended; $40.04M benchmark</t>
        </is>
      </c>
    </row>
    <row r="32">
      <c r="A32" s="6" t="inlineStr">
        <is>
          <t>S14</t>
        </is>
      </c>
      <c r="B32" s="15" t="inlineStr">
        <is>
          <t>S14_CashFlow_Model</t>
        </is>
      </c>
      <c r="C32" s="19" t="inlineStr">
        <is>
          <t>Zone 3</t>
        </is>
      </c>
      <c r="D32" s="6" t="inlineStr">
        <is>
          <t>New</t>
        </is>
      </c>
      <c r="E32" s="8" t="inlineStr">
        <is>
          <t>Merged monthly + quarterly cash flow with S-curve profile</t>
        </is>
      </c>
      <c r="F32" s="8" t="inlineStr">
        <is>
          <t>$14.42M program spend; compressed to 2025</t>
        </is>
      </c>
    </row>
    <row r="33">
      <c r="A33" s="6" t="inlineStr">
        <is>
          <t>S15</t>
        </is>
      </c>
      <c r="B33" s="15" t="inlineStr">
        <is>
          <t>S15_FX_Exposure_Model</t>
        </is>
      </c>
      <c r="C33" s="19" t="inlineStr">
        <is>
          <t>Zone 3</t>
        </is>
      </c>
      <c r="D33" s="6" t="inlineStr">
        <is>
          <t>Revised</t>
        </is>
      </c>
      <c r="E33" s="8" t="inlineStr">
        <is>
          <t>EUR/JPY FX risk — baseline, adverse, favorable scenarios</t>
        </is>
      </c>
      <c r="F33" s="8" t="inlineStr">
        <is>
          <t>9/10 line items hedged</t>
        </is>
      </c>
    </row>
    <row r="34">
      <c r="A34" s="6" t="inlineStr">
        <is>
          <t>S16</t>
        </is>
      </c>
      <c r="B34" s="15" t="inlineStr">
        <is>
          <t>S16_Supply_Chain_Risk</t>
        </is>
      </c>
      <c r="C34" s="19" t="inlineStr">
        <is>
          <t>Zone 3</t>
        </is>
      </c>
      <c r="D34" s="6" t="inlineStr">
        <is>
          <t>Revised</t>
        </is>
      </c>
      <c r="E34" s="8" t="inlineStr">
        <is>
          <t>Supply chain risk heatmap — 25 components across both programs, 4 risk tiers</t>
        </is>
      </c>
      <c r="F34" s="8" t="inlineStr">
        <is>
          <t>7 CRITICAL; 4 HIGH; single-source analysis</t>
        </is>
      </c>
    </row>
    <row r="35">
      <c r="A35" s="6" t="inlineStr">
        <is>
          <t>S17</t>
        </is>
      </c>
      <c r="B35" s="15" t="inlineStr">
        <is>
          <t>S17_Supply_Market_Analysis</t>
        </is>
      </c>
      <c r="C35" s="20" t="inlineStr">
        <is>
          <t>Zone 4</t>
        </is>
      </c>
      <c r="D35" s="6" t="inlineStr">
        <is>
          <t>New</t>
        </is>
      </c>
      <c r="E35" s="8" t="inlineStr">
        <is>
          <t>Supply market structure — concentration, players, pricing trends</t>
        </is>
      </c>
      <c r="F35" s="8" t="inlineStr">
        <is>
          <t>8 commodities; HHI analysis; price trends</t>
        </is>
      </c>
    </row>
    <row r="36">
      <c r="A36" s="6" t="inlineStr">
        <is>
          <t>S18</t>
        </is>
      </c>
      <c r="B36" s="15" t="inlineStr">
        <is>
          <t>S18_Supply_Chain_Network</t>
        </is>
      </c>
      <c r="C36" s="20" t="inlineStr">
        <is>
          <t>Zone 4</t>
        </is>
      </c>
      <c r="D36" s="6" t="inlineStr">
        <is>
          <t>New</t>
        </is>
      </c>
      <c r="E36" s="8" t="inlineStr">
        <is>
          <t>Logistics network map — supplier geography, routes, Tier 2 visibility</t>
        </is>
      </c>
      <c r="F36" s="8" t="inlineStr">
        <is>
          <t>15 suppliers; transit times; customs data</t>
        </is>
      </c>
    </row>
    <row r="37">
      <c r="A37" s="6" t="inlineStr">
        <is>
          <t>S19</t>
        </is>
      </c>
      <c r="B37" s="15" t="inlineStr">
        <is>
          <t>S19_Strategic_Sourcing_Pipeline</t>
        </is>
      </c>
      <c r="C37" s="20" t="inlineStr">
        <is>
          <t>Zone 4</t>
        </is>
      </c>
      <c r="D37" s="6" t="inlineStr">
        <is>
          <t>New</t>
        </is>
      </c>
      <c r="E37" s="8" t="inlineStr">
        <is>
          <t>Full sourcing workflow — RFI to award, contract status, savings</t>
        </is>
      </c>
      <c r="F37" s="8" t="inlineStr">
        <is>
          <t>12 categories tracked</t>
        </is>
      </c>
    </row>
    <row r="38">
      <c r="A38" s="6" t="inlineStr">
        <is>
          <t>S20</t>
        </is>
      </c>
      <c r="B38" s="15" t="inlineStr">
        <is>
          <t>S20_Dual_MultiSource_Strategy</t>
        </is>
      </c>
      <c r="C38" s="20" t="inlineStr">
        <is>
          <t>Zone 4</t>
        </is>
      </c>
      <c r="D38" s="6" t="inlineStr">
        <is>
          <t>New</t>
        </is>
      </c>
      <c r="E38" s="8" t="inlineStr">
        <is>
          <t>Dual/multi-source program — qualification status, risk reduction</t>
        </is>
      </c>
      <c r="F38" s="8" t="inlineStr">
        <is>
          <t>8 commodities; 3 active qual programs</t>
        </is>
      </c>
    </row>
    <row r="39">
      <c r="A39" s="6" t="inlineStr">
        <is>
          <t>S21</t>
        </is>
      </c>
      <c r="B39" s="15" t="inlineStr">
        <is>
          <t>S21_Negotiation_Tracker</t>
        </is>
      </c>
      <c r="C39" s="20" t="inlineStr">
        <is>
          <t>Zone 4</t>
        </is>
      </c>
      <c r="D39" s="6" t="inlineStr">
        <is>
          <t>New</t>
        </is>
      </c>
      <c r="E39" s="8" t="inlineStr">
        <is>
          <t>Commercial negotiation log — targets, BATNA, outcomes, savings</t>
        </is>
      </c>
      <c r="F39" s="8" t="inlineStr">
        <is>
          <t>10 negotiations; $537K confirmed savings</t>
        </is>
      </c>
    </row>
    <row r="40">
      <c r="A40" s="6" t="inlineStr">
        <is>
          <t>S22</t>
        </is>
      </c>
      <c r="B40" s="15" t="inlineStr">
        <is>
          <t>S22_Capacity_Supplier_Facing</t>
        </is>
      </c>
      <c r="C40" s="20" t="inlineStr">
        <is>
          <t>Zone 4</t>
        </is>
      </c>
      <c r="D40" s="6" t="inlineStr">
        <is>
          <t>New</t>
        </is>
      </c>
      <c r="E40" s="8" t="inlineStr">
        <is>
          <t>Supplier capacity assessment — program share, flex, MOQ, buffer</t>
        </is>
      </c>
      <c r="F40" s="8" t="inlineStr">
        <is>
          <t>15 suppliers; capacity constraint analysis</t>
        </is>
      </c>
    </row>
    <row r="41">
      <c r="A41" s="6" t="inlineStr">
        <is>
          <t>S23</t>
        </is>
      </c>
      <c r="B41" s="15" t="inlineStr">
        <is>
          <t>S23_Inventory_Buffer_Planning</t>
        </is>
      </c>
      <c r="C41" s="20" t="inlineStr">
        <is>
          <t>Zone 4</t>
        </is>
      </c>
      <c r="D41" s="6" t="inlineStr">
        <is>
          <t>New</t>
        </is>
      </c>
      <c r="E41" s="8" t="inlineStr">
        <is>
          <t>Inventory strategy — raw materials, WIP, spares, safety stock</t>
        </is>
      </c>
      <c r="F41" s="8" t="inlineStr">
        <is>
          <t>$124.2K spare parts inventory value</t>
        </is>
      </c>
    </row>
    <row r="42">
      <c r="A42" s="6" t="inlineStr">
        <is>
          <t>S24</t>
        </is>
      </c>
      <c r="B42" s="15" t="inlineStr">
        <is>
          <t>S24_Asset_Tracking</t>
        </is>
      </c>
      <c r="C42" s="20" t="inlineStr">
        <is>
          <t>Zone 4</t>
        </is>
      </c>
      <c r="D42" s="6" t="inlineStr">
        <is>
          <t>New</t>
        </is>
      </c>
      <c r="E42" s="8" t="inlineStr">
        <is>
          <t>Physical asset register — location, status, lifecycle, warranty</t>
        </is>
      </c>
      <c r="F42" s="8" t="inlineStr">
        <is>
          <t>45 assets; installation dates; replacement plan</t>
        </is>
      </c>
    </row>
    <row r="43">
      <c r="A43" s="6" t="inlineStr">
        <is>
          <t>S25</t>
        </is>
      </c>
      <c r="B43" s="15" t="inlineStr">
        <is>
          <t>S25_Milestone_Gate_Tracker</t>
        </is>
      </c>
      <c r="C43" s="21" t="inlineStr">
        <is>
          <t>Zone 5</t>
        </is>
      </c>
      <c r="D43" s="6" t="inlineStr">
        <is>
          <t>Revised</t>
        </is>
      </c>
      <c r="E43" s="8" t="inlineStr">
        <is>
          <t>Phase-gate program tracker — G0 to G5 gates, criteria, blockers</t>
        </is>
      </c>
      <c r="F43" s="8" t="inlineStr">
        <is>
          <t>G0+G1 approved; G2-G5 in progress</t>
        </is>
      </c>
    </row>
    <row r="44">
      <c r="A44" s="6" t="inlineStr">
        <is>
          <t>S26</t>
        </is>
      </c>
      <c r="B44" s="15" t="inlineStr">
        <is>
          <t>S26_Engineering_Change_Orders</t>
        </is>
      </c>
      <c r="C44" s="21" t="inlineStr">
        <is>
          <t>Zone 5</t>
        </is>
      </c>
      <c r="D44" s="6" t="inlineStr">
        <is>
          <t>New</t>
        </is>
      </c>
      <c r="E44" s="8" t="inlineStr">
        <is>
          <t>Formal ECO register — origin, scope, cost/schedule impact, approval</t>
        </is>
      </c>
      <c r="F44" s="8" t="inlineStr">
        <is>
          <t>10 ECOs; $107.2K cost impact</t>
        </is>
      </c>
    </row>
    <row r="45">
      <c r="A45" s="6" t="inlineStr">
        <is>
          <t>S27</t>
        </is>
      </c>
      <c r="B45" s="15" t="inlineStr">
        <is>
          <t>S27_Vendor_Design_Changes</t>
        </is>
      </c>
      <c r="C45" s="21" t="inlineStr">
        <is>
          <t>Zone 5</t>
        </is>
      </c>
      <c r="D45" s="6" t="inlineStr">
        <is>
          <t>New</t>
        </is>
      </c>
      <c r="E45" s="8" t="inlineStr">
        <is>
          <t>Supplier-initiated design change log — disposition, requalification</t>
        </is>
      </c>
      <c r="F45" s="8" t="inlineStr">
        <is>
          <t>7 VDCs; risk-assessed; approval tracked</t>
        </is>
      </c>
    </row>
    <row r="46">
      <c r="A46" s="6" t="inlineStr">
        <is>
          <t>S28</t>
        </is>
      </c>
      <c r="B46" s="15" t="inlineStr">
        <is>
          <t>S28_Yield_Production_Metrics</t>
        </is>
      </c>
      <c r="C46" s="21" t="inlineStr">
        <is>
          <t>Zone 5</t>
        </is>
      </c>
      <c r="D46" s="6" t="inlineStr">
        <is>
          <t>New</t>
        </is>
      </c>
      <c r="E46" s="8" t="inlineStr">
        <is>
          <t>OEE, yield, defect tracking by process tool and period</t>
        </is>
      </c>
      <c r="F46" s="8" t="inlineStr">
        <is>
          <t>96% target yield; OEE model by equipment</t>
        </is>
      </c>
    </row>
    <row r="47">
      <c r="A47" s="6" t="inlineStr">
        <is>
          <t>S29</t>
        </is>
      </c>
      <c r="B47" s="15" t="inlineStr">
        <is>
          <t>S29_Equipment_ROI_Tracker</t>
        </is>
      </c>
      <c r="C47" s="21" t="inlineStr">
        <is>
          <t>Zone 5</t>
        </is>
      </c>
      <c r="D47" s="6" t="inlineStr">
        <is>
          <t>Revised</t>
        </is>
      </c>
      <c r="E47" s="8" t="inlineStr">
        <is>
          <t>Post-commissioning actual vs plan — throughput, uptime, revenue impact</t>
        </is>
      </c>
      <c r="F47" s="8" t="inlineStr">
        <is>
          <t>30/90/180-day checkpoints; variance analysis</t>
        </is>
      </c>
    </row>
    <row r="48">
      <c r="A48" s="6" t="inlineStr">
        <is>
          <t>S30</t>
        </is>
      </c>
      <c r="B48" s="15" t="inlineStr">
        <is>
          <t>S30_Executive_Dashboard</t>
        </is>
      </c>
      <c r="C48" s="16" t="inlineStr">
        <is>
          <t>Zone 0</t>
        </is>
      </c>
      <c r="D48" s="6" t="inlineStr">
        <is>
          <t>Revised</t>
        </is>
      </c>
      <c r="E48" s="8" t="inlineStr">
        <is>
          <t>Executive KPI summary — all zones linked, recruiter first view</t>
        </is>
      </c>
      <c r="F48" s="8" t="inlineStr">
        <is>
          <t>All key metrics; zone navigation prompts</t>
        </is>
      </c>
    </row>
    <row r="49">
      <c r="A49" s="6" t="inlineStr">
        <is>
          <t>S31</t>
        </is>
      </c>
      <c r="B49" s="15" t="inlineStr">
        <is>
          <t>S31_Vendor_Scorecard</t>
        </is>
      </c>
      <c r="C49" s="21" t="inlineStr">
        <is>
          <t>Zone 5</t>
        </is>
      </c>
      <c r="D49" s="6" t="inlineStr">
        <is>
          <t>New</t>
        </is>
      </c>
      <c r="E49" s="8" t="inlineStr">
        <is>
          <t>Weighted vendor scorecard — delivery, quality, commercial, technical</t>
        </is>
      </c>
      <c r="F49" s="8" t="inlineStr">
        <is>
          <t>18 suppliers scored; 4 Preferred, 9 Approved</t>
        </is>
      </c>
    </row>
    <row r="50">
      <c r="A50" s="6" t="inlineStr">
        <is>
          <t>S32</t>
        </is>
      </c>
      <c r="B50" s="15" t="inlineStr">
        <is>
          <t>S32_Change_Tracker</t>
        </is>
      </c>
      <c r="C50" s="21" t="inlineStr">
        <is>
          <t>Zone 5</t>
        </is>
      </c>
      <c r="D50" s="6" t="inlineStr">
        <is>
          <t>New</t>
        </is>
      </c>
      <c r="E50" s="8" t="inlineStr">
        <is>
          <t>Engineering change management log — cost, schedule, risk</t>
        </is>
      </c>
      <c r="F50" s="8" t="inlineStr">
        <is>
          <t>12 CRs; $210.5K cost impact; 5.8% contingency used</t>
        </is>
      </c>
    </row>
    <row r="51">
      <c r="A51" s="6" t="inlineStr">
        <is>
          <t>S33</t>
        </is>
      </c>
      <c r="B51" s="15" t="inlineStr">
        <is>
          <t>S33_Portfolio_Register</t>
        </is>
      </c>
      <c r="C51" s="22" t="inlineStr">
        <is>
          <t>Zone 6</t>
        </is>
      </c>
      <c r="D51" s="6" t="inlineStr">
        <is>
          <t>New</t>
        </is>
      </c>
      <c r="E51" s="8" t="inlineStr">
        <is>
          <t>Multi-program register — one row per program, live-linked financials &amp; risk</t>
        </is>
      </c>
      <c r="F51" s="8" t="inlineStr">
        <is>
          <t>2 programs; PRG-001 Greenfield, PRG-002 Riverside</t>
        </is>
      </c>
    </row>
    <row r="52">
      <c r="A52" s="6" t="inlineStr">
        <is>
          <t>S34</t>
        </is>
      </c>
      <c r="B52" s="15" t="inlineStr">
        <is>
          <t>S34_Portfolio_Dashboard</t>
        </is>
      </c>
      <c r="C52" s="22" t="inlineStr">
        <is>
          <t>Zone 6</t>
        </is>
      </c>
      <c r="D52" s="6" t="inlineStr">
        <is>
          <t>New</t>
        </is>
      </c>
      <c r="E52" s="8" t="inlineStr">
        <is>
          <t>Portfolio-wide KPI rollup across all active/proposed programs</t>
        </is>
      </c>
      <c r="F52" s="8" t="inlineStr">
        <is>
          <t>Total portfolio CapEx, blended risk, program comparison</t>
        </is>
      </c>
    </row>
    <row r="53">
      <c r="A53" s="6" t="inlineStr">
        <is>
          <t>S35</t>
        </is>
      </c>
      <c r="B53" s="15" t="inlineStr">
        <is>
          <t>S35_Portfolio_Prioritization</t>
        </is>
      </c>
      <c r="C53" s="22" t="inlineStr">
        <is>
          <t>Zone 6</t>
        </is>
      </c>
      <c r="D53" s="6" t="inlineStr">
        <is>
          <t>New</t>
        </is>
      </c>
      <c r="E53" s="8" t="inlineStr">
        <is>
          <t>Weighted capital allocation scorecard — ranks programs for sequencing</t>
        </is>
      </c>
      <c r="F53" s="8" t="inlineStr">
        <is>
          <t>Greenfield #1 (4.25/5.0), Riverside #2 (3.15/5.0)</t>
        </is>
      </c>
    </row>
  </sheetData>
  <mergeCells count="5">
    <mergeCell ref="A2:F2"/>
    <mergeCell ref="A16:F16"/>
    <mergeCell ref="A6:D6"/>
    <mergeCell ref="A1:F1"/>
    <mergeCell ref="A4:F4"/>
  </mergeCells>
  <hyperlinks>
    <hyperlink xmlns:r="http://schemas.openxmlformats.org/officeDocument/2006/relationships" ref="B18" r:id="rId1"/>
    <hyperlink xmlns:r="http://schemas.openxmlformats.org/officeDocument/2006/relationships" ref="B19" r:id="rId2"/>
    <hyperlink xmlns:r="http://schemas.openxmlformats.org/officeDocument/2006/relationships" ref="B20" r:id="rId3"/>
    <hyperlink xmlns:r="http://schemas.openxmlformats.org/officeDocument/2006/relationships" ref="B21" r:id="rId4"/>
    <hyperlink xmlns:r="http://schemas.openxmlformats.org/officeDocument/2006/relationships" ref="B22" r:id="rId5"/>
    <hyperlink xmlns:r="http://schemas.openxmlformats.org/officeDocument/2006/relationships" ref="B23" r:id="rId6"/>
    <hyperlink xmlns:r="http://schemas.openxmlformats.org/officeDocument/2006/relationships" ref="B24" r:id="rId7"/>
    <hyperlink xmlns:r="http://schemas.openxmlformats.org/officeDocument/2006/relationships" ref="B25" r:id="rId8"/>
    <hyperlink xmlns:r="http://schemas.openxmlformats.org/officeDocument/2006/relationships" ref="B26" r:id="rId9"/>
    <hyperlink xmlns:r="http://schemas.openxmlformats.org/officeDocument/2006/relationships" ref="B27" r:id="rId10"/>
    <hyperlink xmlns:r="http://schemas.openxmlformats.org/officeDocument/2006/relationships" ref="B28" r:id="rId11"/>
    <hyperlink xmlns:r="http://schemas.openxmlformats.org/officeDocument/2006/relationships" ref="B29" r:id="rId12"/>
    <hyperlink xmlns:r="http://schemas.openxmlformats.org/officeDocument/2006/relationships" ref="B30" r:id="rId13"/>
    <hyperlink xmlns:r="http://schemas.openxmlformats.org/officeDocument/2006/relationships" ref="B31" r:id="rId14"/>
    <hyperlink xmlns:r="http://schemas.openxmlformats.org/officeDocument/2006/relationships" ref="B32" r:id="rId15"/>
    <hyperlink xmlns:r="http://schemas.openxmlformats.org/officeDocument/2006/relationships" ref="B33" r:id="rId16"/>
    <hyperlink xmlns:r="http://schemas.openxmlformats.org/officeDocument/2006/relationships" ref="B34" r:id="rId17"/>
    <hyperlink xmlns:r="http://schemas.openxmlformats.org/officeDocument/2006/relationships" ref="B35" r:id="rId18"/>
    <hyperlink xmlns:r="http://schemas.openxmlformats.org/officeDocument/2006/relationships" ref="B36" r:id="rId19"/>
    <hyperlink xmlns:r="http://schemas.openxmlformats.org/officeDocument/2006/relationships" ref="B37" r:id="rId20"/>
    <hyperlink xmlns:r="http://schemas.openxmlformats.org/officeDocument/2006/relationships" ref="B38" r:id="rId21"/>
    <hyperlink xmlns:r="http://schemas.openxmlformats.org/officeDocument/2006/relationships" ref="B39" r:id="rId22"/>
    <hyperlink xmlns:r="http://schemas.openxmlformats.org/officeDocument/2006/relationships" ref="B40" r:id="rId23"/>
    <hyperlink xmlns:r="http://schemas.openxmlformats.org/officeDocument/2006/relationships" ref="B41" r:id="rId24"/>
    <hyperlink xmlns:r="http://schemas.openxmlformats.org/officeDocument/2006/relationships" ref="B42" r:id="rId25"/>
    <hyperlink xmlns:r="http://schemas.openxmlformats.org/officeDocument/2006/relationships" ref="B43" r:id="rId26"/>
    <hyperlink xmlns:r="http://schemas.openxmlformats.org/officeDocument/2006/relationships" ref="B44" r:id="rId27"/>
    <hyperlink xmlns:r="http://schemas.openxmlformats.org/officeDocument/2006/relationships" ref="B45" r:id="rId28"/>
    <hyperlink xmlns:r="http://schemas.openxmlformats.org/officeDocument/2006/relationships" ref="B46" r:id="rId29"/>
    <hyperlink xmlns:r="http://schemas.openxmlformats.org/officeDocument/2006/relationships" ref="B47" r:id="rId30"/>
    <hyperlink xmlns:r="http://schemas.openxmlformats.org/officeDocument/2006/relationships" ref="B48" r:id="rId31"/>
    <hyperlink xmlns:r="http://schemas.openxmlformats.org/officeDocument/2006/relationships" ref="B49" r:id="rId32"/>
    <hyperlink xmlns:r="http://schemas.openxmlformats.org/officeDocument/2006/relationships" ref="B50" r:id="rId33"/>
    <hyperlink xmlns:r="http://schemas.openxmlformats.org/officeDocument/2006/relationships" ref="B51" r:id="rId34"/>
    <hyperlink xmlns:r="http://schemas.openxmlformats.org/officeDocument/2006/relationships" ref="B52" r:id="rId35"/>
    <hyperlink xmlns:r="http://schemas.openxmlformats.org/officeDocument/2006/relationships" ref="B53" r:id="rId36"/>
  </hyperlinks>
  <pageMargins left="0.75" right="0.75" top="1" bottom="1" header="0.5" footer="0.5"/>
</worksheet>
</file>

<file path=xl/worksheets/sheet2.xml><?xml version="1.0" encoding="utf-8"?>
<worksheet xmlns="http://schemas.openxmlformats.org/spreadsheetml/2006/main">
  <sheetPr>
    <tabColor rgb="0016A085"/>
    <outlinePr summaryBelow="1" summaryRight="1"/>
    <pageSetUpPr/>
  </sheetPr>
  <dimension ref="A1:J16"/>
  <sheetViews>
    <sheetView workbookViewId="0">
      <selection activeCell="A1" sqref="A1"/>
    </sheetView>
  </sheetViews>
  <sheetFormatPr baseColWidth="8" defaultRowHeight="15"/>
  <cols>
    <col width="14" customWidth="1" min="1" max="1"/>
    <col width="26" customWidth="1" min="2" max="2"/>
    <col width="14" customWidth="1" min="3" max="3"/>
    <col width="14" customWidth="1" min="4" max="4"/>
    <col width="16" customWidth="1" min="5" max="5"/>
    <col width="16" customWidth="1" min="6" max="6"/>
    <col width="16" customWidth="1" min="7" max="7"/>
    <col width="12" customWidth="1" min="8" max="8"/>
    <col width="16" customWidth="1" min="9" max="9"/>
    <col width="16" customWidth="1" min="10" max="10"/>
  </cols>
  <sheetData>
    <row r="1" ht="26" customHeight="1">
      <c r="A1" s="23" t="inlineStr">
        <is>
          <t>S34 — PORTFOLIO EXECUTIVE DASHBOARD — ALL PROGRAMS</t>
        </is>
      </c>
    </row>
    <row r="2" ht="15" customHeight="1">
      <c r="A2" s="2" t="inlineStr">
        <is>
          <t>Portfolio Director: Sourabh Tarodekar · Aggregates every active/proposed program in S33_Portfolio_Register · All values linked live</t>
        </is>
      </c>
    </row>
    <row r="4" ht="18" customHeight="1">
      <c r="A4" s="24" t="inlineStr">
        <is>
          <t>PORTFOLIO KEY PERFORMANCE INDICATORS</t>
        </is>
      </c>
    </row>
    <row r="5">
      <c r="A5" s="25" t="inlineStr">
        <is>
          <t>ACTIVE + PROPOSED PROGRAMS</t>
        </is>
      </c>
      <c r="B5" s="6" t="n"/>
      <c r="C5" s="25" t="inlineStr">
        <is>
          <t>TOTAL PORTFOLIO CAPEX</t>
        </is>
      </c>
      <c r="D5" s="6" t="n"/>
      <c r="E5" s="25" t="inlineStr">
        <is>
          <t>TOTAL APPROVED/EST. BUDGET</t>
        </is>
      </c>
      <c r="F5" s="6" t="n"/>
      <c r="G5" s="25" t="inlineStr">
        <is>
          <t>BLENDED SUPPLY CHAIN RISK</t>
        </is>
      </c>
      <c r="H5" s="6" t="n"/>
      <c r="I5" s="25" t="inlineStr">
        <is>
          <t>TOTAL EQUIPMENT PLATFORMS</t>
        </is>
      </c>
      <c r="J5" s="6" t="n"/>
    </row>
    <row r="6" ht="26" customHeight="1">
      <c r="A6" s="26">
        <f>'S33_Portfolio_Register'!B10</f>
        <v/>
      </c>
      <c r="B6" s="6" t="n"/>
      <c r="C6" s="27">
        <f>'S33_Portfolio_Register'!B11</f>
        <v/>
      </c>
      <c r="D6" s="6" t="n"/>
      <c r="E6" s="27">
        <f>'S33_Portfolio_Register'!B12</f>
        <v/>
      </c>
      <c r="F6" s="6" t="n"/>
      <c r="G6" s="28">
        <f>'S33_Portfolio_Register'!B13</f>
        <v/>
      </c>
      <c r="H6" s="6" t="n"/>
      <c r="I6" s="26">
        <f>'S33_Portfolio_Register'!B14</f>
        <v/>
      </c>
      <c r="J6" s="6" t="n"/>
    </row>
    <row r="7">
      <c r="A7" s="29" t="inlineStr">
        <is>
          <t>S33 — Portfolio Register</t>
        </is>
      </c>
      <c r="B7" s="6" t="n"/>
      <c r="C7" s="29" t="inlineStr">
        <is>
          <t>Sum across all programs</t>
        </is>
      </c>
      <c r="D7" s="6" t="n"/>
      <c r="E7" s="29" t="inlineStr">
        <is>
          <t>Incl. contingency + reserves</t>
        </is>
      </c>
      <c r="F7" s="6" t="n"/>
      <c r="G7" s="29" t="inlineStr">
        <is>
          <t>Avg across all programs</t>
        </is>
      </c>
      <c r="H7" s="6" t="n"/>
      <c r="I7" s="29" t="inlineStr">
        <is>
          <t>All programs combined</t>
        </is>
      </c>
      <c r="J7" s="6" t="n"/>
    </row>
    <row r="9" ht="18" customHeight="1">
      <c r="A9" s="24" t="inlineStr">
        <is>
          <t>PROGRAM-BY-PROGRAM COMPARISON</t>
        </is>
      </c>
    </row>
    <row r="10" ht="30" customHeight="1">
      <c r="A10" s="30" t="inlineStr">
        <is>
          <t>Program</t>
        </is>
      </c>
      <c r="B10" s="30" t="inlineStr">
        <is>
          <t>Phase / Status</t>
        </is>
      </c>
      <c r="C10" s="30" t="inlineStr">
        <is>
          <t>CapEx (USD)</t>
        </is>
      </c>
      <c r="D10" s="30" t="inlineStr">
        <is>
          <t>% of Portfolio CapEx</t>
        </is>
      </c>
      <c r="E10" s="30" t="inlineStr">
        <is>
          <t>Approved/Est. Budget (USD)</t>
        </is>
      </c>
      <c r="F10" s="30" t="inlineStr">
        <is>
          <t>IRR</t>
        </is>
      </c>
      <c r="G10" s="30" t="inlineStr">
        <is>
          <t>Risk Score</t>
        </is>
      </c>
      <c r="H10" s="30" t="inlineStr">
        <is>
          <t>Equipment Platforms</t>
        </is>
      </c>
      <c r="I10" s="30" t="inlineStr">
        <is>
          <t>Payback (yrs)</t>
        </is>
      </c>
    </row>
    <row r="11">
      <c r="A11" s="6">
        <f>'S33_Portfolio_Register'!B5</f>
        <v/>
      </c>
      <c r="B11" s="6">
        <f>'S33_Portfolio_Register'!G5</f>
        <v/>
      </c>
      <c r="C11" s="31">
        <f>'S33_Portfolio_Register'!H5</f>
        <v/>
      </c>
      <c r="D11" s="32">
        <f>C11/'S33_Portfolio_Register'!B11</f>
        <v/>
      </c>
      <c r="E11" s="31">
        <f>'S33_Portfolio_Register'!J5</f>
        <v/>
      </c>
      <c r="F11" s="32">
        <f>'S33_Portfolio_Register'!K5</f>
        <v/>
      </c>
      <c r="G11" s="33">
        <f>'S33_Portfolio_Register'!N5</f>
        <v/>
      </c>
      <c r="H11" s="6">
        <f>'S33_Portfolio_Register'!O5</f>
        <v/>
      </c>
      <c r="I11" s="33">
        <f>'S33_Portfolio_Register'!M5</f>
        <v/>
      </c>
    </row>
    <row r="12">
      <c r="A12" s="6">
        <f>'S33_Portfolio_Register'!B6</f>
        <v/>
      </c>
      <c r="B12" s="6">
        <f>'S33_Portfolio_Register'!G6</f>
        <v/>
      </c>
      <c r="C12" s="31">
        <f>'S33_Portfolio_Register'!H6</f>
        <v/>
      </c>
      <c r="D12" s="32">
        <f>C12/'S33_Portfolio_Register'!B11</f>
        <v/>
      </c>
      <c r="E12" s="31">
        <f>'S33_Portfolio_Register'!J6</f>
        <v/>
      </c>
      <c r="F12" s="32">
        <f>'S33_Portfolio_Register'!K6</f>
        <v/>
      </c>
      <c r="G12" s="33">
        <f>'S33_Portfolio_Register'!N6</f>
        <v/>
      </c>
      <c r="H12" s="6">
        <f>'S33_Portfolio_Register'!O6</f>
        <v/>
      </c>
      <c r="I12" s="33">
        <f>'S33_Portfolio_Register'!M6</f>
        <v/>
      </c>
    </row>
    <row r="13">
      <c r="A13" s="34" t="inlineStr">
        <is>
          <t>PORTFOLIO TOTAL</t>
        </is>
      </c>
      <c r="B13" s="22" t="n"/>
      <c r="C13" s="35">
        <f>SUM(C11:C12)</f>
        <v/>
      </c>
      <c r="D13" s="36" t="n">
        <v>1</v>
      </c>
      <c r="E13" s="35">
        <f>SUM(E11:E12)</f>
        <v/>
      </c>
      <c r="F13" s="22" t="n"/>
      <c r="G13" s="37">
        <f>AVERAGE(G11:G12)</f>
        <v/>
      </c>
      <c r="H13" s="34">
        <f>SUM(H11:H12)</f>
        <v/>
      </c>
      <c r="I13" s="22" t="n"/>
    </row>
    <row r="15" ht="18" customHeight="1">
      <c r="A15" s="24" t="inlineStr">
        <is>
          <t>PORTFOLIO NOTES</t>
        </is>
      </c>
    </row>
    <row r="16" ht="60" customHeight="1">
      <c r="A16" s="38" t="inlineStr">
        <is>
          <t>PRG-001 (Greenfield Expansion Phase II) is fully approved and in execution — every figure above is live-linked to its 33-sheet model (S00-S32). PRG-002 (Riverside Automation Upgrade Phase I) is at FEL-2 (feasibility); its equipment, supplier, and risk data are live-linked to S02/S03/S16, but its IRR/NPV/payback are Finance's FEL-2 planning estimates pending a full TCO build-out ahead of AR submission. See S35_Portfolio_Prioritization for the capital allocation decision framework across both programs.</t>
        </is>
      </c>
    </row>
  </sheetData>
  <mergeCells count="21">
    <mergeCell ref="C6:D6"/>
    <mergeCell ref="I6:J6"/>
    <mergeCell ref="C5:D5"/>
    <mergeCell ref="E5:F5"/>
    <mergeCell ref="A4:J4"/>
    <mergeCell ref="A6:B6"/>
    <mergeCell ref="A7:B7"/>
    <mergeCell ref="G7:H7"/>
    <mergeCell ref="I7:J7"/>
    <mergeCell ref="A15:J15"/>
    <mergeCell ref="G6:H6"/>
    <mergeCell ref="A1:J1"/>
    <mergeCell ref="E6:F6"/>
    <mergeCell ref="A5:B5"/>
    <mergeCell ref="G5:H5"/>
    <mergeCell ref="A9:I9"/>
    <mergeCell ref="I5:J5"/>
    <mergeCell ref="A16:J16"/>
    <mergeCell ref="C7:D7"/>
    <mergeCell ref="E7:F7"/>
    <mergeCell ref="A2:J2"/>
  </mergeCells>
  <pageMargins left="0.75" right="0.75" top="1" bottom="1" header="0.5" footer="0.5"/>
</worksheet>
</file>

<file path=xl/worksheets/sheet3.xml><?xml version="1.0" encoding="utf-8"?>
<worksheet xmlns="http://schemas.openxmlformats.org/spreadsheetml/2006/main">
  <sheetPr>
    <tabColor rgb="0016A085"/>
    <outlinePr summaryBelow="1" summaryRight="1"/>
    <pageSetUpPr/>
  </sheetPr>
  <dimension ref="A1:Q14"/>
  <sheetViews>
    <sheetView workbookViewId="0">
      <pane ySplit="5" topLeftCell="A6" activePane="bottomLeft" state="frozen"/>
      <selection pane="bottomLeft" activeCell="A1" sqref="A1"/>
    </sheetView>
  </sheetViews>
  <sheetFormatPr baseColWidth="8" defaultRowHeight="15"/>
  <cols>
    <col width="10" customWidth="1" min="1" max="1"/>
    <col width="30" customWidth="1" min="2" max="2"/>
    <col width="26" customWidth="1" min="3" max="3"/>
    <col width="18" customWidth="1" min="4" max="4"/>
    <col width="28" customWidth="1" min="5" max="5"/>
    <col width="26" customWidth="1" min="6" max="6"/>
    <col width="24" customWidth="1" min="7" max="7"/>
    <col width="18" customWidth="1" min="8" max="8"/>
    <col width="16" customWidth="1" min="9" max="9"/>
    <col width="18" customWidth="1" min="10" max="10"/>
    <col width="11" customWidth="1" min="11" max="11"/>
    <col width="15" customWidth="1" min="12" max="12"/>
    <col width="11" customWidth="1" min="13" max="13"/>
    <col width="13" customWidth="1" min="14" max="14"/>
    <col width="12" customWidth="1" min="15" max="15"/>
    <col width="40" customWidth="1" min="16" max="16"/>
    <col width="55" customWidth="1" min="17" max="17"/>
  </cols>
  <sheetData>
    <row r="1" ht="26" customHeight="1">
      <c r="A1" s="23" t="inlineStr">
        <is>
          <t>S33 — Portfolio Register — All Active &amp; Proposed CapEx Programs</t>
        </is>
      </c>
    </row>
    <row r="2" ht="15" customHeight="1">
      <c r="A2" s="2" t="inlineStr">
        <is>
          <t>Portfolio Director: Sourabh Tarodekar | One row per program; financial and risk fields link live to each program's own data sheets (S02, S03, S16) where a supporting model exists | Program ID is the join key used across S33-S35</t>
        </is>
      </c>
    </row>
    <row r="4" ht="30" customHeight="1">
      <c r="A4" s="30" t="inlineStr">
        <is>
          <t>Program ID</t>
        </is>
      </c>
      <c r="B4" s="30" t="inlineStr">
        <is>
          <t>Program Name</t>
        </is>
      </c>
      <c r="C4" s="30" t="inlineStr">
        <is>
          <t>Sponsor</t>
        </is>
      </c>
      <c r="D4" s="30" t="inlineStr">
        <is>
          <t>Program Manager</t>
        </is>
      </c>
      <c r="E4" s="30" t="inlineStr">
        <is>
          <t>Business Unit</t>
        </is>
      </c>
      <c r="F4" s="30" t="inlineStr">
        <is>
          <t>Phase / Gate</t>
        </is>
      </c>
      <c r="G4" s="30" t="inlineStr">
        <is>
          <t>Status</t>
        </is>
      </c>
      <c r="H4" s="30" t="inlineStr">
        <is>
          <t>Total CapEx — Equip+Install (USD)</t>
        </is>
      </c>
      <c r="I4" s="30" t="inlineStr">
        <is>
          <t>Contingency Reserve (USD)</t>
        </is>
      </c>
      <c r="J4" s="30" t="inlineStr">
        <is>
          <t>Total Approved Budget (USD)</t>
        </is>
      </c>
      <c r="K4" s="30" t="inlineStr">
        <is>
          <t>Estimated IRR</t>
        </is>
      </c>
      <c r="L4" s="30" t="inlineStr">
        <is>
          <t>10-Yr NPV (USD)</t>
        </is>
      </c>
      <c r="M4" s="30" t="inlineStr">
        <is>
          <t>Payback (yrs)</t>
        </is>
      </c>
      <c r="N4" s="30" t="inlineStr">
        <is>
          <t>Avg Supply Chain Risk Score</t>
        </is>
      </c>
      <c r="O4" s="30" t="inlineStr">
        <is>
          <t>Equipment Platforms</t>
        </is>
      </c>
      <c r="P4" s="30" t="inlineStr">
        <is>
          <t>Strategic Capacity Impact</t>
        </is>
      </c>
      <c r="Q4" s="30" t="inlineStr">
        <is>
          <t>Notes</t>
        </is>
      </c>
    </row>
    <row r="5">
      <c r="A5" s="39" t="inlineStr">
        <is>
          <t>PRG-001</t>
        </is>
      </c>
      <c r="B5" s="6" t="inlineStr">
        <is>
          <t>Greenfield Expansion Phase II</t>
        </is>
      </c>
      <c r="C5" s="6" t="inlineStr">
        <is>
          <t>Sourabh Tarodekar (Portfolio Director)</t>
        </is>
      </c>
      <c r="D5" s="6" t="inlineStr">
        <is>
          <t>Sourabh Tarodekar</t>
        </is>
      </c>
      <c r="E5" s="6" t="inlineStr">
        <is>
          <t>Semiconductor &amp; Advanced Process Division</t>
        </is>
      </c>
      <c r="F5" s="6" t="inlineStr">
        <is>
          <t>G2 — Equipment Build &amp; FAT (Execution)</t>
        </is>
      </c>
      <c r="G5" s="40" t="inlineStr">
        <is>
          <t>APPROVED — IN EXECUTION</t>
        </is>
      </c>
      <c r="H5" s="41">
        <f>'S02_Equipment_Portfolio'!B25</f>
        <v/>
      </c>
      <c r="I5" s="41">
        <f>'S12_AR_Summary'!F24</f>
        <v/>
      </c>
      <c r="J5" s="41">
        <f>'S12_AR_Summary'!F27</f>
        <v/>
      </c>
      <c r="K5" s="42">
        <f>'S12_AR_Summary'!B34</f>
        <v/>
      </c>
      <c r="L5" s="41">
        <f>'S12_AR_Summary'!B33</f>
        <v/>
      </c>
      <c r="M5" s="43" t="n">
        <v>4.2</v>
      </c>
      <c r="N5" s="44">
        <f>'S16_Supply_Chain_Risk'!B36</f>
        <v/>
      </c>
      <c r="O5" s="45">
        <f>'S02_Equipment_Portfolio'!B27</f>
        <v/>
      </c>
      <c r="P5" s="8" t="inlineStr">
        <is>
          <t>+312,000 units/yr (35% customer volume increase)</t>
        </is>
      </c>
      <c r="Q5" s="8" t="inlineStr">
        <is>
          <t>Full 33-sheet model (S00-S32); financials, schedule, and risk fully linked</t>
        </is>
      </c>
    </row>
    <row r="6">
      <c r="A6" s="39" t="inlineStr">
        <is>
          <t>PRG-002</t>
        </is>
      </c>
      <c r="B6" s="6" t="inlineStr">
        <is>
          <t>Riverside Automation Upgrade Phase I</t>
        </is>
      </c>
      <c r="C6" s="6" t="inlineStr">
        <is>
          <t>Sourabh Tarodekar (Portfolio Director)</t>
        </is>
      </c>
      <c r="D6" s="6" t="inlineStr">
        <is>
          <t>Elena Vargas</t>
        </is>
      </c>
      <c r="E6" s="6" t="inlineStr">
        <is>
          <t>Packaging &amp; Distribution Operations</t>
        </is>
      </c>
      <c r="F6" s="6" t="inlineStr">
        <is>
          <t>FEL-2 — Feasibility (Pre-Execution)</t>
        </is>
      </c>
      <c r="G6" s="46" t="inlineStr">
        <is>
          <t>PROPOSED — AWAITING AR APPROVAL</t>
        </is>
      </c>
      <c r="H6" s="41">
        <f>'S02_Equipment_Portfolio'!I40+'S02_Equipment_Portfolio'!K40</f>
        <v/>
      </c>
      <c r="I6" s="31">
        <f>H6*0.10</f>
        <v/>
      </c>
      <c r="J6" s="31">
        <f>H6+I6+42000.0+95000.0</f>
        <v/>
      </c>
      <c r="K6" s="47" t="n">
        <v>0.168</v>
      </c>
      <c r="L6" s="48" t="n">
        <v>1850000</v>
      </c>
      <c r="M6" s="43" t="n">
        <v>3.1</v>
      </c>
      <c r="N6" s="44">
        <f>'S16_Supply_Chain_Risk'!B53</f>
        <v/>
      </c>
      <c r="O6" s="45">
        <f>COUNTA('S02_Equipment_Portfolio'!A34:'S02_Equipment_Portfolio'!A39)</f>
        <v/>
      </c>
      <c r="P6" s="8" t="inlineStr">
        <is>
          <t>+18% packaging line throughput (~45,000 cases/day incremental)</t>
        </is>
      </c>
      <c r="Q6" s="8" t="inlineStr">
        <is>
          <t>Equipment/supplier/risk data live-linked (S02, S03, S16); IRR/NPV/payback are Finance FEL-2 estimates, not yet a full 10-yr TCO model</t>
        </is>
      </c>
    </row>
    <row r="9" ht="18" customHeight="1">
      <c r="A9" s="24" t="inlineStr">
        <is>
          <t>PORTFOLIO TOTALS</t>
        </is>
      </c>
    </row>
    <row r="10">
      <c r="A10" s="6" t="inlineStr">
        <is>
          <t>Active + Proposed Programs</t>
        </is>
      </c>
      <c r="B10" s="49">
        <f>COUNTA(A5:A6)</f>
        <v/>
      </c>
    </row>
    <row r="11">
      <c r="A11" s="6" t="inlineStr">
        <is>
          <t>Total Portfolio CapEx (USD)</t>
        </is>
      </c>
      <c r="B11" s="50">
        <f>SUM(H5:H6)</f>
        <v/>
      </c>
    </row>
    <row r="12">
      <c r="A12" s="6" t="inlineStr">
        <is>
          <t>Total Portfolio Approved/Estimated Budget (USD)</t>
        </is>
      </c>
      <c r="B12" s="50">
        <f>SUM(J5:J6)</f>
        <v/>
      </c>
    </row>
    <row r="13">
      <c r="A13" s="6" t="inlineStr">
        <is>
          <t>Blended Avg Supply Chain Risk Score</t>
        </is>
      </c>
      <c r="B13" s="51">
        <f>AVERAGE(N5:N6)</f>
        <v/>
      </c>
    </row>
    <row r="14">
      <c r="A14" s="6" t="inlineStr">
        <is>
          <t>Total Equipment Platforms (All Programs)</t>
        </is>
      </c>
      <c r="B14" s="49">
        <f>SUM(O5:O6)</f>
        <v/>
      </c>
    </row>
  </sheetData>
  <mergeCells count="3">
    <mergeCell ref="A9:B9"/>
    <mergeCell ref="A2:Q2"/>
    <mergeCell ref="A1:Q1"/>
  </mergeCells>
  <pageMargins left="0.75" right="0.75" top="1" bottom="1" header="0.5" footer="0.5"/>
</worksheet>
</file>

<file path=xl/worksheets/sheet4.xml><?xml version="1.0" encoding="utf-8"?>
<worksheet xmlns="http://schemas.openxmlformats.org/spreadsheetml/2006/main">
  <sheetPr>
    <tabColor rgb="0016A085"/>
    <outlinePr summaryBelow="1" summaryRight="1"/>
    <pageSetUpPr/>
  </sheetPr>
  <dimension ref="A1:I19"/>
  <sheetViews>
    <sheetView workbookViewId="0">
      <pane ySplit="5" topLeftCell="A6" activePane="bottomLeft" state="frozen"/>
      <selection pane="bottomLeft" activeCell="A1" sqref="A1"/>
    </sheetView>
  </sheetViews>
  <sheetFormatPr baseColWidth="8" defaultRowHeight="15"/>
  <cols>
    <col width="34" customWidth="1" min="1" max="1"/>
    <col width="9" customWidth="1" min="2" max="2"/>
    <col width="15" customWidth="1" min="3" max="3"/>
    <col width="15" customWidth="1" min="4" max="4"/>
    <col width="12" customWidth="1" min="5" max="5"/>
    <col width="12" customWidth="1" min="6" max="6"/>
    <col width="50" customWidth="1" min="7" max="7"/>
    <col width="10" customWidth="1" min="8" max="8"/>
    <col width="10" customWidth="1" min="9" max="9"/>
  </cols>
  <sheetData>
    <row r="1" ht="26" customHeight="1">
      <c r="A1" s="23" t="inlineStr">
        <is>
          <t>S35 — Portfolio Prioritization — Capital Allocation Decision Framework</t>
        </is>
      </c>
    </row>
    <row r="2" ht="15" customHeight="1">
      <c r="A2" s="2" t="inlineStr">
        <is>
          <t>Portfolio Director: Sourabh Tarodekar | Weighted scorecard used to rank active + proposed programs each planning cycle | Same weighting methodology as S13_Scenario_Analysis, applied program-vs-program instead of scenario-vs-scenario</t>
        </is>
      </c>
    </row>
    <row r="4" ht="18" customHeight="1">
      <c r="A4" s="24" t="inlineStr">
        <is>
          <t>SCORING DIMENSION WEIGHTS &amp; RATIONALE</t>
        </is>
      </c>
    </row>
    <row r="5" ht="30" customHeight="1">
      <c r="A5" s="30" t="inlineStr">
        <is>
          <t>Dimension</t>
        </is>
      </c>
      <c r="B5" s="30" t="inlineStr">
        <is>
          <t>Weight</t>
        </is>
      </c>
      <c r="C5" s="30" t="inlineStr">
        <is>
          <t>PRG-001 Score (1-5)</t>
        </is>
      </c>
      <c r="D5" s="30" t="inlineStr">
        <is>
          <t>PRG-002 Score (1-5)</t>
        </is>
      </c>
      <c r="E5" s="30" t="inlineStr">
        <is>
          <t>Wtd PRG-001</t>
        </is>
      </c>
      <c r="F5" s="30" t="inlineStr">
        <is>
          <t>Wtd PRG-002</t>
        </is>
      </c>
      <c r="G5" s="30" t="inlineStr">
        <is>
          <t>Rationale</t>
        </is>
      </c>
    </row>
    <row r="6">
      <c r="A6" s="6" t="inlineStr">
        <is>
          <t>Financial Return (NPV / IRR)</t>
        </is>
      </c>
      <c r="B6" s="47" t="n">
        <v>0.25</v>
      </c>
      <c r="C6" s="43" t="n">
        <v>5</v>
      </c>
      <c r="D6" s="43" t="n">
        <v>3</v>
      </c>
      <c r="E6" s="33">
        <f>B6*C6</f>
        <v/>
      </c>
      <c r="F6" s="33">
        <f>B6*D6</f>
        <v/>
      </c>
      <c r="G6" s="8" t="inlineStr">
        <is>
          <t>Greenfield's $9.5M NPV and 14.2% IRR dwarf Riverside's $1.85M/16.8% in absolute terms</t>
        </is>
      </c>
    </row>
    <row r="7">
      <c r="A7" s="6" t="inlineStr">
        <is>
          <t>Strategic Fit / Business Priority</t>
        </is>
      </c>
      <c r="B7" s="47" t="n">
        <v>0.2</v>
      </c>
      <c r="C7" s="43" t="n">
        <v>5</v>
      </c>
      <c r="D7" s="43" t="n">
        <v>3</v>
      </c>
      <c r="E7" s="33">
        <f>B7*C7</f>
        <v/>
      </c>
      <c r="F7" s="33">
        <f>B7*D7</f>
        <v/>
      </c>
      <c r="G7" s="8" t="inlineStr">
        <is>
          <t>Greenfield is core capacity for the primary revenue driver; Riverside is an efficiency play</t>
        </is>
      </c>
    </row>
    <row r="8">
      <c r="A8" s="6" t="inlineStr">
        <is>
          <t>Supply Chain / Execution Risk (higher score = lower risk)</t>
        </is>
      </c>
      <c r="B8" s="47" t="n">
        <v>0.15</v>
      </c>
      <c r="C8" s="43" t="n">
        <v>3</v>
      </c>
      <c r="D8" s="43" t="n">
        <v>4</v>
      </c>
      <c r="E8" s="33">
        <f>B8*C8</f>
        <v/>
      </c>
      <c r="F8" s="33">
        <f>B8*D8</f>
        <v/>
      </c>
      <c r="G8" s="8" t="inlineStr">
        <is>
          <t>Greenfield carries a HIGH-tier single-source pump risk; Riverside's risk profile is materially lighter</t>
        </is>
      </c>
    </row>
    <row r="9">
      <c r="A9" s="6" t="inlineStr">
        <is>
          <t>Schedule Readiness / Time to Value</t>
        </is>
      </c>
      <c r="B9" s="47" t="n">
        <v>0.15</v>
      </c>
      <c r="C9" s="43" t="n">
        <v>4</v>
      </c>
      <c r="D9" s="43" t="n">
        <v>2</v>
      </c>
      <c r="E9" s="33">
        <f>B9*C9</f>
        <v/>
      </c>
      <c r="F9" s="33">
        <f>B9*D9</f>
        <v/>
      </c>
      <c r="G9" s="8" t="inlineStr">
        <is>
          <t>Greenfield is already at G2 execution; Riverside is still FEL-2, pre-AR</t>
        </is>
      </c>
    </row>
    <row r="10">
      <c r="A10" s="6" t="inlineStr">
        <is>
          <t>Capital Efficiency (impact per $ requested)</t>
        </is>
      </c>
      <c r="B10" s="47" t="n">
        <v>0.15</v>
      </c>
      <c r="C10" s="43" t="n">
        <v>3</v>
      </c>
      <c r="D10" s="43" t="n">
        <v>4</v>
      </c>
      <c r="E10" s="33">
        <f>B10*C10</f>
        <v/>
      </c>
      <c r="F10" s="33">
        <f>B10*D10</f>
        <v/>
      </c>
      <c r="G10" s="8" t="inlineStr">
        <is>
          <t>Riverside's smaller ask and 3.1-yr payback are more capital-efficient than Greenfield's $16M ask</t>
        </is>
      </c>
    </row>
    <row r="11">
      <c r="A11" s="6" t="inlineStr">
        <is>
          <t>Organizational Readiness</t>
        </is>
      </c>
      <c r="B11" s="47" t="n">
        <v>0.1</v>
      </c>
      <c r="C11" s="43" t="n">
        <v>5</v>
      </c>
      <c r="D11" s="43" t="n">
        <v>3</v>
      </c>
      <c r="E11" s="33">
        <f>B11*C11</f>
        <v/>
      </c>
      <c r="F11" s="33">
        <f>B11*D11</f>
        <v/>
      </c>
      <c r="G11" s="8" t="inlineStr">
        <is>
          <t>Greenfield has a dedicated, established program team; Riverside's PM and team are still standing up</t>
        </is>
      </c>
    </row>
    <row r="12">
      <c r="A12" s="34" t="inlineStr">
        <is>
          <t>TOTAL WEIGHTED SCORE</t>
        </is>
      </c>
      <c r="B12" s="36">
        <f>SUM(B6:B11)</f>
        <v/>
      </c>
      <c r="C12" s="22" t="n"/>
      <c r="D12" s="22" t="n"/>
      <c r="E12" s="37">
        <f>SUM(E6:E11)</f>
        <v/>
      </c>
      <c r="F12" s="37">
        <f>SUM(F6:F11)</f>
        <v/>
      </c>
      <c r="G12" s="22" t="n"/>
    </row>
    <row r="14" ht="18" customHeight="1">
      <c r="A14" s="24" t="inlineStr">
        <is>
          <t>RECOMMENDED SEQUENCING</t>
        </is>
      </c>
    </row>
    <row r="15">
      <c r="A15" s="6" t="inlineStr">
        <is>
          <t>#1 Ranked Program</t>
        </is>
      </c>
      <c r="B15" s="39">
        <f>IF(E12&gt;=F12,"PRG-001 — Greenfield Expansion Phase II","PRG-002 — Riverside Automation Upgrade Phase I")</f>
        <v/>
      </c>
    </row>
    <row r="16">
      <c r="A16" s="6" t="inlineStr">
        <is>
          <t>#1 Weighted Score</t>
        </is>
      </c>
      <c r="B16" s="33">
        <f>MAX(E12,F12)</f>
        <v/>
      </c>
    </row>
    <row r="18" ht="18" customHeight="1">
      <c r="A18" s="24" t="inlineStr">
        <is>
          <t>DECISION SUMMARY</t>
        </is>
      </c>
    </row>
    <row r="19" ht="75" customHeight="1">
      <c r="A19" s="38" t="inlineStr">
        <is>
          <t>Greenfield Expansion Phase II ranks #1 (4.25/5.0) and remains the portfolio's priority commitment — it is already AR-approved and in execution, and no action changes that. Riverside Automation Upgrade Phase I ranks #2 (3.15/5.0): recommend continuing FEL-2 feasibility work and targeting AR submission once Greenfield's peak capital draw (Q3-2025, per S14_CashFlow_Model) has passed, so the two programs' spend curves don't compete for the same capital window. Riverside's lower risk profile and faster payback make it an attractive next-in-queue candidate once schedule and organizational readiness catch up to Greenfield's.</t>
        </is>
      </c>
    </row>
  </sheetData>
  <mergeCells count="6">
    <mergeCell ref="A2:I2"/>
    <mergeCell ref="A19:I19"/>
    <mergeCell ref="A1:I1"/>
    <mergeCell ref="A18:I18"/>
    <mergeCell ref="A14:B14"/>
    <mergeCell ref="A4:I4"/>
  </mergeCells>
  <pageMargins left="0.75" right="0.75" top="1" bottom="1" header="0.5" footer="0.5"/>
</worksheet>
</file>

<file path=xl/worksheets/sheet5.xml><?xml version="1.0" encoding="utf-8"?>
<worksheet xmlns="http://schemas.openxmlformats.org/spreadsheetml/2006/main">
  <sheetPr>
    <tabColor rgb="00808080"/>
    <outlinePr summaryBelow="1" summaryRight="1"/>
    <pageSetUpPr/>
  </sheetPr>
  <dimension ref="A1:G75"/>
  <sheetViews>
    <sheetView workbookViewId="0">
      <selection activeCell="A1" sqref="A1"/>
    </sheetView>
  </sheetViews>
  <sheetFormatPr baseColWidth="8" defaultRowHeight="15"/>
  <cols>
    <col width="30" customWidth="1" min="1" max="1"/>
    <col width="14" customWidth="1" min="2" max="2"/>
    <col width="14" customWidth="1" min="3" max="3"/>
    <col width="42" customWidth="1" min="4" max="4"/>
    <col width="14" customWidth="1" min="5" max="5"/>
    <col width="46" customWidth="1" min="6" max="6"/>
    <col width="30" customWidth="1" min="7" max="7"/>
  </cols>
  <sheetData>
    <row r="1" ht="26" customHeight="1">
      <c r="A1" s="1" t="inlineStr">
        <is>
          <t>S01 — Disclaimer &amp; Global Model Assumptions</t>
        </is>
      </c>
    </row>
    <row r="2" ht="15" customHeight="1">
      <c r="A2" s="2" t="inlineStr">
        <is>
          <t>Program: Greenfield Expansion Phase II  |  All hardcoded inputs are in BLUE — update here ONLY. All other sheets link to this sheet.</t>
        </is>
      </c>
    </row>
    <row r="4" ht="30" customHeight="1">
      <c r="A4" s="3" t="inlineStr">
        <is>
          <t>This workbook contains synthetic sample data created for portfolio demonstration purposes only. The data does not represent proprietary or confidential information from any employer or client. Prepared by Sourabh Tarodekar for demonstration of Engineering Program Management – CapEx &amp; Supply Chain Operations capabilities. Contact: sourabh232@gmail.com</t>
        </is>
      </c>
    </row>
    <row r="6" ht="18" customHeight="1">
      <c r="A6" s="4" t="inlineStr">
        <is>
          <t>ENERGY &amp; UTILITIES</t>
        </is>
      </c>
    </row>
    <row r="7" ht="30" customHeight="1">
      <c r="A7" s="5" t="inlineStr">
        <is>
          <t>Parameter</t>
        </is>
      </c>
      <c r="B7" s="5" t="inlineStr">
        <is>
          <t>Value</t>
        </is>
      </c>
      <c r="C7" s="5" t="inlineStr">
        <is>
          <t>Unit</t>
        </is>
      </c>
      <c r="D7" s="5" t="inlineStr">
        <is>
          <t>Source / Basis</t>
        </is>
      </c>
      <c r="E7" s="5" t="inlineStr">
        <is>
          <t>Date Validated</t>
        </is>
      </c>
      <c r="F7" s="5" t="inlineStr">
        <is>
          <t>Notes</t>
        </is>
      </c>
    </row>
    <row r="8">
      <c r="A8" s="6" t="inlineStr">
        <is>
          <t>Energy Price – Electricity</t>
        </is>
      </c>
      <c r="B8" s="47" t="n">
        <v>0.11</v>
      </c>
      <c r="C8" s="6" t="inlineStr">
        <is>
          <t>USD/kWh</t>
        </is>
      </c>
      <c r="D8" s="6" t="inlineStr">
        <is>
          <t>EIA Industrial Rate Survey – US Avg 2024</t>
        </is>
      </c>
      <c r="E8" s="6" t="inlineStr">
        <is>
          <t>2025-01</t>
        </is>
      </c>
      <c r="F8" s="8" t="inlineStr">
        <is>
          <t>Used in Annual Energy Cost calculations across S02, S05 TCO model</t>
        </is>
      </c>
    </row>
    <row r="9">
      <c r="A9" s="6" t="inlineStr">
        <is>
          <t>Natural Gas Price</t>
        </is>
      </c>
      <c r="B9" s="52" t="n">
        <v>4.8</v>
      </c>
      <c r="C9" s="6" t="inlineStr">
        <is>
          <t>USD/MMBtu</t>
        </is>
      </c>
      <c r="D9" s="6" t="inlineStr">
        <is>
          <t>EIA Natural Gas Industrial Price – 2024</t>
        </is>
      </c>
      <c r="E9" s="6" t="inlineStr">
        <is>
          <t>2025-01</t>
        </is>
      </c>
      <c r="F9" s="8" t="inlineStr">
        <is>
          <t>Used for high-temp furnace operating cost estimation</t>
        </is>
      </c>
    </row>
    <row r="10">
      <c r="A10" s="6" t="inlineStr">
        <is>
          <t>Cooling Water Cost</t>
        </is>
      </c>
      <c r="B10" s="47" t="n">
        <v>0.018</v>
      </c>
      <c r="C10" s="6" t="inlineStr">
        <is>
          <t>USD/gallon</t>
        </is>
      </c>
      <c r="D10" s="6" t="inlineStr">
        <is>
          <t>Site Utility Rate Schedule Rev C</t>
        </is>
      </c>
      <c r="E10" s="6" t="inlineStr">
        <is>
          <t>2025-01</t>
        </is>
      </c>
      <c r="F10" s="8" t="inlineStr">
        <is>
          <t>Applicable to chiller and process cooling loads</t>
        </is>
      </c>
    </row>
    <row r="11">
      <c r="A11" s="6" t="inlineStr">
        <is>
          <t>N2 Bulk Gas Cost</t>
        </is>
      </c>
      <c r="B11" s="47" t="n">
        <v>0.045</v>
      </c>
      <c r="C11" s="6" t="inlineStr">
        <is>
          <t>USD/scf</t>
        </is>
      </c>
      <c r="D11" s="6" t="inlineStr">
        <is>
          <t>Site Utility Rate Schedule Rev C</t>
        </is>
      </c>
      <c r="E11" s="6" t="inlineStr">
        <is>
          <t>2025-01</t>
        </is>
      </c>
      <c r="F11" s="8" t="inlineStr">
        <is>
          <t>Applicable to gas handling system operating cost</t>
        </is>
      </c>
    </row>
    <row r="13" ht="18" customHeight="1">
      <c r="A13" s="4" t="inlineStr">
        <is>
          <t>FINANCIAL &amp; DISCOUNT ASSUMPTIONS</t>
        </is>
      </c>
    </row>
    <row r="14" ht="30" customHeight="1">
      <c r="A14" s="5" t="inlineStr">
        <is>
          <t>Parameter</t>
        </is>
      </c>
      <c r="B14" s="5" t="inlineStr">
        <is>
          <t>Value</t>
        </is>
      </c>
      <c r="C14" s="5" t="inlineStr">
        <is>
          <t>Unit</t>
        </is>
      </c>
      <c r="D14" s="5" t="inlineStr">
        <is>
          <t>Source / Basis</t>
        </is>
      </c>
      <c r="E14" s="5" t="inlineStr">
        <is>
          <t>Date Validated</t>
        </is>
      </c>
      <c r="F14" s="5" t="inlineStr">
        <is>
          <t>Notes</t>
        </is>
      </c>
    </row>
    <row r="15">
      <c r="A15" s="6" t="inlineStr">
        <is>
          <t>Discount Rate (WACC)</t>
        </is>
      </c>
      <c r="B15" s="47" t="n">
        <v>0.08</v>
      </c>
      <c r="C15" s="6" t="inlineStr">
        <is>
          <t>—</t>
        </is>
      </c>
      <c r="D15" s="6" t="inlineStr">
        <is>
          <t>Finance Department; WACC model approved Q4-2024</t>
        </is>
      </c>
      <c r="E15" s="6" t="inlineStr">
        <is>
          <t>2025-01</t>
        </is>
      </c>
      <c r="F15" s="8" t="inlineStr">
        <is>
          <t>Used in NPV calculations; 8% reflects blended cost of capital</t>
        </is>
      </c>
    </row>
    <row r="16">
      <c r="A16" s="6" t="inlineStr">
        <is>
          <t>Project Horizon</t>
        </is>
      </c>
      <c r="B16" s="43" t="n">
        <v>10</v>
      </c>
      <c r="C16" s="6" t="inlineStr">
        <is>
          <t>Years</t>
        </is>
      </c>
      <c r="D16" s="6" t="inlineStr">
        <is>
          <t>Standard CapEx lifecycle policy</t>
        </is>
      </c>
      <c r="E16" s="6" t="inlineStr">
        <is>
          <t>2025-01</t>
        </is>
      </c>
      <c r="F16" s="8" t="inlineStr">
        <is>
          <t>All TCO and NPV models use 10-year horizon</t>
        </is>
      </c>
    </row>
    <row r="17">
      <c r="A17" s="6" t="inlineStr">
        <is>
          <t>Tax Rate (Effective)</t>
        </is>
      </c>
      <c r="B17" s="47" t="n">
        <v>0.21</v>
      </c>
      <c r="C17" s="6" t="inlineStr">
        <is>
          <t>—</t>
        </is>
      </c>
      <c r="D17" s="6" t="inlineStr">
        <is>
          <t>US Federal + State blended estimate</t>
        </is>
      </c>
      <c r="E17" s="6" t="inlineStr">
        <is>
          <t>2025-01</t>
        </is>
      </c>
      <c r="F17" s="8" t="inlineStr">
        <is>
          <t>Applied in AR payback model for after-tax IRR</t>
        </is>
      </c>
    </row>
    <row r="18">
      <c r="A18" s="6" t="inlineStr">
        <is>
          <t>CapEx Depreciation Method</t>
        </is>
      </c>
      <c r="B18" s="43" t="inlineStr">
        <is>
          <t>MACRS 7-yr</t>
        </is>
      </c>
      <c r="C18" s="6" t="inlineStr">
        <is>
          <t>—</t>
        </is>
      </c>
      <c r="D18" s="6" t="inlineStr">
        <is>
          <t>Finance / Tax Counsel guidance</t>
        </is>
      </c>
      <c r="E18" s="6" t="inlineStr">
        <is>
          <t>2025-01</t>
        </is>
      </c>
      <c r="F18" s="8" t="inlineStr">
        <is>
          <t>Per AR Summary financial justification</t>
        </is>
      </c>
    </row>
    <row r="19">
      <c r="A19" s="6" t="inlineStr">
        <is>
          <t>Inflation Rate</t>
        </is>
      </c>
      <c r="B19" s="47" t="n">
        <v>0.025</v>
      </c>
      <c r="C19" s="6" t="inlineStr">
        <is>
          <t>—</t>
        </is>
      </c>
      <c r="D19" s="6" t="inlineStr">
        <is>
          <t>Corporate finance planning assumption</t>
        </is>
      </c>
      <c r="E19" s="6" t="inlineStr">
        <is>
          <t>2025-01</t>
        </is>
      </c>
      <c r="F19" s="8" t="inlineStr">
        <is>
          <t>Used to escalate Year 2-10 OpEx in TCO model</t>
        </is>
      </c>
    </row>
    <row r="21" ht="18" customHeight="1">
      <c r="A21" s="4" t="inlineStr">
        <is>
          <t>LABOR RATES</t>
        </is>
      </c>
    </row>
    <row r="22" ht="30" customHeight="1">
      <c r="A22" s="5" t="inlineStr">
        <is>
          <t>Parameter</t>
        </is>
      </c>
      <c r="B22" s="5" t="inlineStr">
        <is>
          <t>Value</t>
        </is>
      </c>
      <c r="C22" s="5" t="inlineStr">
        <is>
          <t>Unit</t>
        </is>
      </c>
      <c r="D22" s="5" t="inlineStr">
        <is>
          <t>Source / Basis</t>
        </is>
      </c>
      <c r="E22" s="5" t="inlineStr">
        <is>
          <t>Date Validated</t>
        </is>
      </c>
      <c r="F22" s="5" t="inlineStr">
        <is>
          <t>Notes</t>
        </is>
      </c>
    </row>
    <row r="23">
      <c r="A23" s="6" t="inlineStr">
        <is>
          <t>Fabrication Shop Rate</t>
        </is>
      </c>
      <c r="B23" s="48" t="n">
        <v>95</v>
      </c>
      <c r="C23" s="6" t="inlineStr">
        <is>
          <t>USD/hr</t>
        </is>
      </c>
      <c r="D23" s="6" t="inlineStr">
        <is>
          <t>Supplier benchmarking; 2024 MW industrial rate</t>
        </is>
      </c>
      <c r="E23" s="6" t="inlineStr">
        <is>
          <t>2025-01</t>
        </is>
      </c>
      <c r="F23" s="8" t="inlineStr">
        <is>
          <t>Used in Should-Cost labor model (S04)</t>
        </is>
      </c>
    </row>
    <row r="24">
      <c r="A24" s="6" t="inlineStr">
        <is>
          <t>Engineering Labor Rate</t>
        </is>
      </c>
      <c r="B24" s="48" t="n">
        <v>120</v>
      </c>
      <c r="C24" s="6" t="inlineStr">
        <is>
          <t>USD/hr</t>
        </is>
      </c>
      <c r="D24" s="6" t="inlineStr">
        <is>
          <t>Internal engineering rate card Rev 2024</t>
        </is>
      </c>
      <c r="E24" s="6" t="inlineStr">
        <is>
          <t>2025-01</t>
        </is>
      </c>
      <c r="F24" s="8" t="inlineStr">
        <is>
          <t>Used in NRE and program labor estimates</t>
        </is>
      </c>
    </row>
    <row r="25">
      <c r="A25" s="6" t="inlineStr">
        <is>
          <t>Installation Labor Rate</t>
        </is>
      </c>
      <c r="B25" s="48" t="n">
        <v>85</v>
      </c>
      <c r="C25" s="6" t="inlineStr">
        <is>
          <t>USD/hr</t>
        </is>
      </c>
      <c r="D25" s="6" t="inlineStr">
        <is>
          <t>Facilities contractor rate card</t>
        </is>
      </c>
      <c r="E25" s="6" t="inlineStr">
        <is>
          <t>2025-01</t>
        </is>
      </c>
      <c r="F25" s="8" t="inlineStr">
        <is>
          <t>Used in on-site installation cost estimates</t>
        </is>
      </c>
    </row>
    <row r="26">
      <c r="A26" s="6" t="inlineStr">
        <is>
          <t>Field Service Rate (Supplier)</t>
        </is>
      </c>
      <c r="B26" s="48" t="n">
        <v>175</v>
      </c>
      <c r="C26" s="6" t="inlineStr">
        <is>
          <t>USD/hr</t>
        </is>
      </c>
      <c r="D26" s="6" t="inlineStr">
        <is>
          <t>Supplier FSE rate benchmark</t>
        </is>
      </c>
      <c r="E26" s="6" t="inlineStr">
        <is>
          <t>2025-01</t>
        </is>
      </c>
      <c r="F26" s="8" t="inlineStr">
        <is>
          <t>Used in downtime / MTTR cost modelling</t>
        </is>
      </c>
    </row>
    <row r="28" ht="18" customHeight="1">
      <c r="A28" s="4" t="inlineStr">
        <is>
          <t>EQUIPMENT PERFORMANCE</t>
        </is>
      </c>
    </row>
    <row r="29" ht="30" customHeight="1">
      <c r="A29" s="5" t="inlineStr">
        <is>
          <t>Parameter</t>
        </is>
      </c>
      <c r="B29" s="5" t="inlineStr">
        <is>
          <t>Value</t>
        </is>
      </c>
      <c r="C29" s="5" t="inlineStr">
        <is>
          <t>Unit</t>
        </is>
      </c>
      <c r="D29" s="5" t="inlineStr">
        <is>
          <t>Source / Basis</t>
        </is>
      </c>
      <c r="E29" s="5" t="inlineStr">
        <is>
          <t>Date Validated</t>
        </is>
      </c>
      <c r="F29" s="5" t="inlineStr">
        <is>
          <t>Notes</t>
        </is>
      </c>
    </row>
    <row r="30">
      <c r="A30" s="6" t="inlineStr">
        <is>
          <t>Equipment Uptime Target</t>
        </is>
      </c>
      <c r="B30" s="47" t="n">
        <v>0.92</v>
      </c>
      <c r="C30" s="6" t="inlineStr">
        <is>
          <t>—</t>
        </is>
      </c>
      <c r="D30" s="6" t="inlineStr">
        <is>
          <t>Program engineering specification</t>
        </is>
      </c>
      <c r="E30" s="6" t="inlineStr">
        <is>
          <t>2025-01</t>
        </is>
      </c>
      <c r="F30" s="8" t="inlineStr">
        <is>
          <t>92% uptime = 608 downtime hrs/yr basis for MTBF model</t>
        </is>
      </c>
    </row>
    <row r="31">
      <c r="A31" s="6" t="inlineStr">
        <is>
          <t>Planned Maintenance Downtime</t>
        </is>
      </c>
      <c r="B31" s="47" t="n">
        <v>0.04</v>
      </c>
      <c r="C31" s="6" t="inlineStr">
        <is>
          <t>—</t>
        </is>
      </c>
      <c r="D31" s="6" t="inlineStr">
        <is>
          <t>Maintenance planning schedule</t>
        </is>
      </c>
      <c r="E31" s="6" t="inlineStr">
        <is>
          <t>2025-01</t>
        </is>
      </c>
      <c r="F31" s="8" t="inlineStr">
        <is>
          <t>4% of annual hours allocated to preventive maintenance</t>
        </is>
      </c>
    </row>
    <row r="32">
      <c r="A32" s="6" t="inlineStr">
        <is>
          <t>Process Yield Assumption</t>
        </is>
      </c>
      <c r="B32" s="47" t="n">
        <v>0.96</v>
      </c>
      <c r="C32" s="6" t="inlineStr">
        <is>
          <t>—</t>
        </is>
      </c>
      <c r="D32" s="6" t="inlineStr">
        <is>
          <t>Engineering process spec</t>
        </is>
      </c>
      <c r="E32" s="6" t="inlineStr">
        <is>
          <t>2025-01</t>
        </is>
      </c>
      <c r="F32" s="8" t="inlineStr">
        <is>
          <t>Used in capacity model to calculate effective throughput</t>
        </is>
      </c>
    </row>
    <row r="33">
      <c r="A33" s="6" t="inlineStr">
        <is>
          <t>Production Value per Hour</t>
        </is>
      </c>
      <c r="B33" s="48" t="n">
        <v>4500</v>
      </c>
      <c r="C33" s="6" t="inlineStr">
        <is>
          <t>USD/hr</t>
        </is>
      </c>
      <c r="D33" s="6" t="inlineStr">
        <is>
          <t>Finance — fully-loaded production cost model</t>
        </is>
      </c>
      <c r="E33" s="6" t="inlineStr">
        <is>
          <t>2025-01</t>
        </is>
      </c>
      <c r="F33" s="8" t="inlineStr">
        <is>
          <t>Downtime Cost = Value/hr × MTTR hrs</t>
        </is>
      </c>
    </row>
    <row r="35" ht="18" customHeight="1">
      <c r="A35" s="4" t="inlineStr">
        <is>
          <t>SUPPLIER COST MODEL INPUTS</t>
        </is>
      </c>
    </row>
    <row r="36" ht="30" customHeight="1">
      <c r="A36" s="5" t="inlineStr">
        <is>
          <t>Parameter</t>
        </is>
      </c>
      <c r="B36" s="5" t="inlineStr">
        <is>
          <t>Value</t>
        </is>
      </c>
      <c r="C36" s="5" t="inlineStr">
        <is>
          <t>Unit</t>
        </is>
      </c>
      <c r="D36" s="5" t="inlineStr">
        <is>
          <t>Source / Basis</t>
        </is>
      </c>
      <c r="E36" s="5" t="inlineStr">
        <is>
          <t>Date Validated</t>
        </is>
      </c>
      <c r="F36" s="5" t="inlineStr">
        <is>
          <t>Notes</t>
        </is>
      </c>
    </row>
    <row r="37">
      <c r="A37" s="6" t="inlineStr">
        <is>
          <t>Supplier Margin – Low</t>
        </is>
      </c>
      <c r="B37" s="47" t="n">
        <v>0.15</v>
      </c>
      <c r="C37" s="6" t="inlineStr">
        <is>
          <t>—</t>
        </is>
      </c>
      <c r="D37" s="6" t="inlineStr">
        <is>
          <t>Benchmarking; competitive-bid suppliers</t>
        </is>
      </c>
      <c r="E37" s="6" t="inlineStr">
        <is>
          <t>2025-01</t>
        </is>
      </c>
      <c r="F37" s="8" t="inlineStr">
        <is>
          <t>Lower bound; applied to multi-source components</t>
        </is>
      </c>
    </row>
    <row r="38">
      <c r="A38" s="6" t="inlineStr">
        <is>
          <t>Supplier Margin – High</t>
        </is>
      </c>
      <c r="B38" s="47" t="n">
        <v>0.25</v>
      </c>
      <c r="C38" s="6" t="inlineStr">
        <is>
          <t>—</t>
        </is>
      </c>
      <c r="D38" s="6" t="inlineStr">
        <is>
          <t>Benchmarking; sole-source suppliers</t>
        </is>
      </c>
      <c r="E38" s="6" t="inlineStr">
        <is>
          <t>2025-01</t>
        </is>
      </c>
      <c r="F38" s="8" t="inlineStr">
        <is>
          <t>Upper bound; applied to single-source components</t>
        </is>
      </c>
    </row>
    <row r="39">
      <c r="A39" s="6" t="inlineStr">
        <is>
          <t>Material Scrap Factor – Low</t>
        </is>
      </c>
      <c r="B39" s="47" t="n">
        <v>0.05</v>
      </c>
      <c r="C39" s="6" t="inlineStr">
        <is>
          <t>—</t>
        </is>
      </c>
      <c r="D39" s="6" t="inlineStr">
        <is>
          <t>Engineering; precision machined parts</t>
        </is>
      </c>
      <c r="E39" s="6" t="inlineStr">
        <is>
          <t>2025-01</t>
        </is>
      </c>
      <c r="F39" s="8" t="inlineStr">
        <is>
          <t>5% scrap on raw material purchases</t>
        </is>
      </c>
    </row>
    <row r="40">
      <c r="A40" s="6" t="inlineStr">
        <is>
          <t>Material Scrap Factor – High</t>
        </is>
      </c>
      <c r="B40" s="47" t="n">
        <v>0.08</v>
      </c>
      <c r="C40" s="6" t="inlineStr">
        <is>
          <t>—</t>
        </is>
      </c>
      <c r="D40" s="6" t="inlineStr">
        <is>
          <t>Engineering; cast / welded assemblies</t>
        </is>
      </c>
      <c r="E40" s="6" t="inlineStr">
        <is>
          <t>2025-01</t>
        </is>
      </c>
      <c r="F40" s="8" t="inlineStr">
        <is>
          <t>8% scrap on complex fabrications</t>
        </is>
      </c>
    </row>
    <row r="41">
      <c r="A41" s="6" t="inlineStr">
        <is>
          <t>Material Price – Steel (304 SS)</t>
        </is>
      </c>
      <c r="B41" s="52" t="n">
        <v>3.8</v>
      </c>
      <c r="C41" s="6" t="inlineStr">
        <is>
          <t>USD/kg</t>
        </is>
      </c>
      <c r="D41" s="6" t="inlineStr">
        <is>
          <t>Metal bulletin Q1-2025</t>
        </is>
      </c>
      <c r="E41" s="6" t="inlineStr">
        <is>
          <t>2025-01</t>
        </is>
      </c>
      <c r="F41" s="8" t="inlineStr">
        <is>
          <t>Used in vacuum chamber and furnace body cost estimates</t>
        </is>
      </c>
    </row>
    <row r="42">
      <c r="A42" s="6" t="inlineStr">
        <is>
          <t>Material Price – Aluminum</t>
        </is>
      </c>
      <c r="B42" s="52" t="n">
        <v>4.2</v>
      </c>
      <c r="C42" s="6" t="inlineStr">
        <is>
          <t>USD/kg</t>
        </is>
      </c>
      <c r="D42" s="6" t="inlineStr">
        <is>
          <t>Metal bulletin Q1-2025</t>
        </is>
      </c>
      <c r="E42" s="6" t="inlineStr">
        <is>
          <t>2025-01</t>
        </is>
      </c>
      <c r="F42" s="8" t="inlineStr">
        <is>
          <t>Used in robotics frame and structural components</t>
        </is>
      </c>
    </row>
    <row r="43">
      <c r="A43" s="6" t="inlineStr">
        <is>
          <t>Material Price – Copper</t>
        </is>
      </c>
      <c r="B43" s="52" t="n">
        <v>9.5</v>
      </c>
      <c r="C43" s="6" t="inlineStr">
        <is>
          <t>USD/kg</t>
        </is>
      </c>
      <c r="D43" s="6" t="inlineStr">
        <is>
          <t>COMEX spot Q1-2025</t>
        </is>
      </c>
      <c r="E43" s="6" t="inlineStr">
        <is>
          <t>2025-01</t>
        </is>
      </c>
      <c r="F43" s="8" t="inlineStr">
        <is>
          <t>Used in transformer winding and electrical bus cost estimates</t>
        </is>
      </c>
    </row>
    <row r="45" ht="18" customHeight="1">
      <c r="A45" s="4" t="inlineStr">
        <is>
          <t>DEPLOYMENT TIMELINE ASSUMPTIONS</t>
        </is>
      </c>
    </row>
    <row r="46" ht="30" customHeight="1">
      <c r="A46" s="5" t="inlineStr">
        <is>
          <t>Parameter</t>
        </is>
      </c>
      <c r="B46" s="5" t="inlineStr">
        <is>
          <t>Value</t>
        </is>
      </c>
      <c r="C46" s="5" t="inlineStr">
        <is>
          <t>Unit</t>
        </is>
      </c>
      <c r="D46" s="5" t="inlineStr">
        <is>
          <t>Source / Basis</t>
        </is>
      </c>
      <c r="E46" s="5" t="inlineStr">
        <is>
          <t>Date Validated</t>
        </is>
      </c>
      <c r="F46" s="5" t="inlineStr">
        <is>
          <t>Notes</t>
        </is>
      </c>
    </row>
    <row r="47">
      <c r="A47" s="6" t="inlineStr">
        <is>
          <t>Supplier Manufacturing Duration</t>
        </is>
      </c>
      <c r="B47" s="43" t="n">
        <v>20</v>
      </c>
      <c r="C47" s="6" t="inlineStr">
        <is>
          <t>Weeks</t>
        </is>
      </c>
      <c r="D47" s="6" t="inlineStr">
        <is>
          <t>Program schedule baseline Rev 1.0</t>
        </is>
      </c>
      <c r="E47" s="6" t="inlineStr">
        <is>
          <t>2025-01</t>
        </is>
      </c>
      <c r="F47" s="8" t="inlineStr">
        <is>
          <t>Range: 16–24 wks depending on equipment complexity</t>
        </is>
      </c>
    </row>
    <row r="48">
      <c r="A48" s="6" t="inlineStr">
        <is>
          <t>Factory Acceptance Testing (FAT)</t>
        </is>
      </c>
      <c r="B48" s="43" t="n">
        <v>2</v>
      </c>
      <c r="C48" s="6" t="inlineStr">
        <is>
          <t>Weeks</t>
        </is>
      </c>
      <c r="D48" s="6" t="inlineStr">
        <is>
          <t>Standard FAT protocol – all equipment</t>
        </is>
      </c>
      <c r="E48" s="6" t="inlineStr">
        <is>
          <t>2025-01</t>
        </is>
      </c>
      <c r="F48" s="8" t="inlineStr">
        <is>
          <t>2 weeks minimum; may extend for complex systems</t>
        </is>
      </c>
    </row>
    <row r="49">
      <c r="A49" s="6" t="inlineStr">
        <is>
          <t>International Shipping Duration</t>
        </is>
      </c>
      <c r="B49" s="43" t="n">
        <v>3</v>
      </c>
      <c r="C49" s="6" t="inlineStr">
        <is>
          <t>Weeks</t>
        </is>
      </c>
      <c r="D49" s="6" t="inlineStr">
        <is>
          <t>Freight forwarder estimate; ocean freight</t>
        </is>
      </c>
      <c r="E49" s="6" t="inlineStr">
        <is>
          <t>2025-01</t>
        </is>
      </c>
      <c r="F49" s="8" t="inlineStr">
        <is>
          <t>Air freight contingency +50% cost; used for risk scenario</t>
        </is>
      </c>
    </row>
    <row r="50">
      <c r="A50" s="6" t="inlineStr">
        <is>
          <t>On-Site Installation</t>
        </is>
      </c>
      <c r="B50" s="43" t="n">
        <v>4</v>
      </c>
      <c r="C50" s="6" t="inlineStr">
        <is>
          <t>Weeks</t>
        </is>
      </c>
      <c r="D50" s="6" t="inlineStr">
        <is>
          <t>Facilities project plan Rev A</t>
        </is>
      </c>
      <c r="E50" s="6" t="inlineStr">
        <is>
          <t>2025-01</t>
        </is>
      </c>
      <c r="F50" s="8" t="inlineStr">
        <is>
          <t>Per equipment platform; parallel installation possible</t>
        </is>
      </c>
    </row>
    <row r="51">
      <c r="A51" s="6" t="inlineStr">
        <is>
          <t>Utility Hookup</t>
        </is>
      </c>
      <c r="B51" s="43" t="n">
        <v>2</v>
      </c>
      <c r="C51" s="6" t="inlineStr">
        <is>
          <t>Weeks</t>
        </is>
      </c>
      <c r="D51" s="6" t="inlineStr">
        <is>
          <t>Facilities electrical + mechanical schedule</t>
        </is>
      </c>
      <c r="E51" s="6" t="inlineStr">
        <is>
          <t>2025-01</t>
        </is>
      </c>
      <c r="F51" s="8" t="inlineStr">
        <is>
          <t>Includes inspection and commissioning sign-off</t>
        </is>
      </c>
    </row>
    <row r="52">
      <c r="A52" s="6" t="inlineStr">
        <is>
          <t>Process Qualification (PQ)</t>
        </is>
      </c>
      <c r="B52" s="43" t="n">
        <v>5</v>
      </c>
      <c r="C52" s="6" t="inlineStr">
        <is>
          <t>Weeks</t>
        </is>
      </c>
      <c r="D52" s="6" t="inlineStr">
        <is>
          <t>Process engineering qualification plan</t>
        </is>
      </c>
      <c r="E52" s="6" t="inlineStr">
        <is>
          <t>2025-01</t>
        </is>
      </c>
      <c r="F52" s="8" t="inlineStr">
        <is>
          <t>Range: 4–6 wks; 5 wks used as baseline</t>
        </is>
      </c>
    </row>
    <row r="54" ht="18" customHeight="1">
      <c r="A54" s="4" t="inlineStr">
        <is>
          <t>FX SENSITIVITY ASSUMPTIONS</t>
        </is>
      </c>
    </row>
    <row r="55" ht="30" customHeight="1">
      <c r="A55" s="5" t="inlineStr">
        <is>
          <t>Parameter</t>
        </is>
      </c>
      <c r="B55" s="5" t="inlineStr">
        <is>
          <t>Value</t>
        </is>
      </c>
      <c r="C55" s="5" t="inlineStr">
        <is>
          <t>Unit</t>
        </is>
      </c>
      <c r="D55" s="5" t="inlineStr">
        <is>
          <t>Source / Basis</t>
        </is>
      </c>
      <c r="E55" s="5" t="inlineStr">
        <is>
          <t>Date Validated</t>
        </is>
      </c>
      <c r="F55" s="5" t="inlineStr">
        <is>
          <t>Notes</t>
        </is>
      </c>
    </row>
    <row r="56">
      <c r="A56" s="6" t="inlineStr">
        <is>
          <t>USD/EUR Exchange Rate (Baseline)</t>
        </is>
      </c>
      <c r="B56" s="52" t="n">
        <v>1.09</v>
      </c>
      <c r="C56" s="6" t="inlineStr">
        <is>
          <t>USD per EUR</t>
        </is>
      </c>
      <c r="D56" s="6" t="inlineStr">
        <is>
          <t>Bloomberg rates Q1-2025 average</t>
        </is>
      </c>
      <c r="E56" s="6" t="inlineStr">
        <is>
          <t>2025-01</t>
        </is>
      </c>
      <c r="F56" s="8" t="inlineStr">
        <is>
          <t>Baseline conversion rate for EUR-denominated equipment</t>
        </is>
      </c>
    </row>
    <row r="57">
      <c r="A57" s="6" t="inlineStr">
        <is>
          <t>USD/JPY Exchange Rate (Baseline)</t>
        </is>
      </c>
      <c r="B57" s="43" t="n">
        <v>149.5</v>
      </c>
      <c r="C57" s="6" t="inlineStr">
        <is>
          <t>JPY per USD</t>
        </is>
      </c>
      <c r="D57" s="6" t="inlineStr">
        <is>
          <t>Bloomberg rates Q1-2025 average</t>
        </is>
      </c>
      <c r="E57" s="6" t="inlineStr">
        <is>
          <t>2025-01</t>
        </is>
      </c>
      <c r="F57" s="8" t="inlineStr">
        <is>
          <t>Baseline conversion rate for JPY-denominated equipment</t>
        </is>
      </c>
    </row>
    <row r="58">
      <c r="A58" s="6" t="inlineStr">
        <is>
          <t>EUR Sensitivity – Adverse</t>
        </is>
      </c>
      <c r="B58" s="52" t="n">
        <v>1.15</v>
      </c>
      <c r="C58" s="6" t="inlineStr">
        <is>
          <t>USD per EUR</t>
        </is>
      </c>
      <c r="D58" s="6" t="inlineStr">
        <is>
          <t>FX stress scenario +6%</t>
        </is>
      </c>
      <c r="E58" s="6" t="inlineStr">
        <is>
          <t>2025-01</t>
        </is>
      </c>
      <c r="F58" s="8" t="inlineStr">
        <is>
          <t>1% move in EUR/USD = ~$85K portfolio cost impact</t>
        </is>
      </c>
    </row>
    <row r="59">
      <c r="A59" s="6" t="inlineStr">
        <is>
          <t>EUR Sensitivity – Favorable</t>
        </is>
      </c>
      <c r="B59" s="52" t="n">
        <v>1.03</v>
      </c>
      <c r="C59" s="6" t="inlineStr">
        <is>
          <t>USD per EUR</t>
        </is>
      </c>
      <c r="D59" s="6" t="inlineStr">
        <is>
          <t>FX stress scenario -6%</t>
        </is>
      </c>
      <c r="E59" s="6" t="inlineStr">
        <is>
          <t>2025-01</t>
        </is>
      </c>
      <c r="F59" s="8" t="inlineStr">
        <is>
          <t>Favorable scenario used in S13 Scenario Analysis</t>
        </is>
      </c>
    </row>
    <row r="60">
      <c r="A60" s="6" t="inlineStr">
        <is>
          <t>JPY Sensitivity – Adverse</t>
        </is>
      </c>
      <c r="B60" s="43" t="n">
        <v>142</v>
      </c>
      <c r="C60" s="6" t="inlineStr">
        <is>
          <t>JPY per USD</t>
        </is>
      </c>
      <c r="D60" s="6" t="inlineStr">
        <is>
          <t>FX stress scenario (JPY strengthens)</t>
        </is>
      </c>
      <c r="E60" s="6" t="inlineStr">
        <is>
          <t>2025-01</t>
        </is>
      </c>
      <c r="F60" s="8" t="inlineStr">
        <is>
          <t>Stronger JPY = higher USD cost for JPY equipment</t>
        </is>
      </c>
    </row>
    <row r="61">
      <c r="A61" s="6" t="inlineStr">
        <is>
          <t>JPY Sensitivity – Favorable</t>
        </is>
      </c>
      <c r="B61" s="43" t="n">
        <v>157</v>
      </c>
      <c r="C61" s="6" t="inlineStr">
        <is>
          <t>JPY per USD</t>
        </is>
      </c>
      <c r="D61" s="6" t="inlineStr">
        <is>
          <t>FX stress scenario (JPY weakens)</t>
        </is>
      </c>
      <c r="E61" s="6" t="inlineStr">
        <is>
          <t>2025-01</t>
        </is>
      </c>
      <c r="F61" s="8" t="inlineStr">
        <is>
          <t>Weaker JPY = lower USD cost for JPY equipment</t>
        </is>
      </c>
    </row>
    <row r="63" ht="18" customHeight="1">
      <c r="A63" s="4" t="inlineStr">
        <is>
          <t>VERSION CONTROL LOG — Model Revision History &amp; Change Tracking</t>
        </is>
      </c>
    </row>
    <row r="64" ht="30" customHeight="1">
      <c r="A64" s="5" t="inlineStr">
        <is>
          <t>Version</t>
        </is>
      </c>
      <c r="B64" s="5" t="inlineStr">
        <is>
          <t>Date</t>
        </is>
      </c>
      <c r="C64" s="5" t="inlineStr">
        <is>
          <t>Owner / Author</t>
        </is>
      </c>
      <c r="D64" s="5" t="inlineStr">
        <is>
          <t>Change Description</t>
        </is>
      </c>
      <c r="E64" s="5" t="inlineStr">
        <is>
          <t>Impact on Model</t>
        </is>
      </c>
      <c r="F64" s="5" t="inlineStr">
        <is>
          <t>Approval Status</t>
        </is>
      </c>
      <c r="G64" s="5" t="inlineStr">
        <is>
          <t>Notes / Reference</t>
        </is>
      </c>
    </row>
    <row r="65">
      <c r="A65" s="6" t="inlineStr">
        <is>
          <t>V1.0</t>
        </is>
      </c>
      <c r="B65" s="6" t="inlineStr">
        <is>
          <t>2025-02-10</t>
        </is>
      </c>
      <c r="C65" s="6" t="inlineStr">
        <is>
          <t>Sourabh Tarodekar (TPM)</t>
        </is>
      </c>
      <c r="D65" s="8" t="inlineStr">
        <is>
          <t>Initial workbook created. Equipment portfolio dataset populated with 15 platforms from supplier quotes.</t>
        </is>
      </c>
      <c r="E65" s="8" t="inlineStr">
        <is>
          <t>Baseline established. All formulas reference V1.0 assumptions.</t>
        </is>
      </c>
      <c r="F65" s="40" t="inlineStr">
        <is>
          <t>APPROVED</t>
        </is>
      </c>
      <c r="G65" s="8" t="inlineStr">
        <is>
          <t>Baseline model — AR-2025-0082 submission basis</t>
        </is>
      </c>
    </row>
    <row r="66">
      <c r="A66" s="6" t="inlineStr">
        <is>
          <t>V1.1</t>
        </is>
      </c>
      <c r="B66" s="6" t="inlineStr">
        <is>
          <t>2025-02-14</t>
        </is>
      </c>
      <c r="C66" s="6" t="inlineStr">
        <is>
          <t>S. Kim (Supply Chain)</t>
        </is>
      </c>
      <c r="D66" s="8" t="inlineStr">
        <is>
          <t>Updated Pfeiffer vacuum pump (EQ-002) lead time from 16 to 26 weeks based on supplier confirmation.</t>
        </is>
      </c>
      <c r="E66" s="8" t="inlineStr">
        <is>
          <t>Deployment timeline extended. EQ-002 now on critical path. Risk flag updated to CRITICAL.</t>
        </is>
      </c>
      <c r="F66" s="40" t="inlineStr">
        <is>
          <t>APPROVED</t>
        </is>
      </c>
      <c r="G66" s="8" t="inlineStr">
        <is>
          <t>Supplier email confirmation 2025-02-13 on file</t>
        </is>
      </c>
    </row>
    <row r="67">
      <c r="A67" s="6" t="inlineStr">
        <is>
          <t>V1.2</t>
        </is>
      </c>
      <c r="B67" s="6" t="inlineStr">
        <is>
          <t>2025-02-18</t>
        </is>
      </c>
      <c r="C67" s="6" t="inlineStr">
        <is>
          <t>R. Patel (Finance)</t>
        </is>
      </c>
      <c r="D67" s="8" t="inlineStr">
        <is>
          <t>Discount rate updated from 7.5% to 8.0% per Q1-2025 corporate WACC guidance.</t>
        </is>
      </c>
      <c r="E67" s="8" t="inlineStr">
        <is>
          <t>NPV reduced by ~$420K. TCO model and scenario analysis recalculated.</t>
        </is>
      </c>
      <c r="F67" s="40" t="inlineStr">
        <is>
          <t>APPROVED</t>
        </is>
      </c>
      <c r="G67" s="8" t="inlineStr">
        <is>
          <t>Finance guidance memo FIN-2025-007</t>
        </is>
      </c>
    </row>
    <row r="68">
      <c r="A68" s="6" t="inlineStr">
        <is>
          <t>V1.3</t>
        </is>
      </c>
      <c r="B68" s="6" t="inlineStr">
        <is>
          <t>2025-02-24</t>
        </is>
      </c>
      <c r="C68" s="6" t="inlineStr">
        <is>
          <t>T. Okonkwo (Facilities)</t>
        </is>
      </c>
      <c r="D68" s="8" t="inlineStr">
        <is>
          <t>Added EQ-004 crane hire and floor reinforcement to installation cost — +$62K.</t>
        </is>
      </c>
      <c r="E68" s="8" t="inlineStr">
        <is>
          <t>Total installation cost increased. CR-001 raised. Change tracker updated.</t>
        </is>
      </c>
      <c r="F68" s="40" t="inlineStr">
        <is>
          <t>APPROVED</t>
        </is>
      </c>
      <c r="G68" s="8" t="inlineStr">
        <is>
          <t>CR-001 approved by PM 2025-02-24</t>
        </is>
      </c>
    </row>
    <row r="69">
      <c r="A69" s="6" t="inlineStr">
        <is>
          <t>V1.4</t>
        </is>
      </c>
      <c r="B69" s="6" t="inlineStr">
        <is>
          <t>2025-03-05</t>
        </is>
      </c>
      <c r="C69" s="6" t="inlineStr">
        <is>
          <t>M. Chen (Process Eng.)</t>
        </is>
      </c>
      <c r="D69" s="8" t="inlineStr">
        <is>
          <t>Equipment uptime revised from 90% to 92% following process engineering specification review.</t>
        </is>
      </c>
      <c r="E69" s="8" t="inlineStr">
        <is>
          <t>Annual capacity increased. Utilization % reduced. Capacity model updated.</t>
        </is>
      </c>
      <c r="F69" s="40" t="inlineStr">
        <is>
          <t>APPROVED</t>
        </is>
      </c>
      <c r="G69" s="8" t="inlineStr">
        <is>
          <t>Process spec document PE-2025-014 Rev A</t>
        </is>
      </c>
    </row>
    <row r="70">
      <c r="A70" s="6" t="inlineStr">
        <is>
          <t>V1.5</t>
        </is>
      </c>
      <c r="B70" s="6" t="inlineStr">
        <is>
          <t>2025-03-10</t>
        </is>
      </c>
      <c r="C70" s="6" t="inlineStr">
        <is>
          <t>R. Patel (Finance)</t>
        </is>
      </c>
      <c r="D70" s="8" t="inlineStr">
        <is>
          <t>FX sensitivity assumptions added. EUR/JPY baseline and stress scenarios populated.</t>
        </is>
      </c>
      <c r="E70" s="8" t="inlineStr">
        <is>
          <t>FX exposure model now active. EUR/USD baseline 1.09, JPY/USD baseline 149.5.</t>
        </is>
      </c>
      <c r="F70" s="40" t="inlineStr">
        <is>
          <t>APPROVED</t>
        </is>
      </c>
      <c r="G70" s="8" t="inlineStr">
        <is>
          <t>Bloomberg rates Q1-2025 average</t>
        </is>
      </c>
    </row>
    <row r="71">
      <c r="A71" s="6" t="inlineStr">
        <is>
          <t>V1.6</t>
        </is>
      </c>
      <c r="B71" s="6" t="inlineStr">
        <is>
          <t>2025-03-17</t>
        </is>
      </c>
      <c r="C71" s="6" t="inlineStr">
        <is>
          <t>S. Kim (Supply Chain)</t>
        </is>
      </c>
      <c r="D71" s="8" t="inlineStr">
        <is>
          <t>Supplier risk scores recalculated after Daifuku confirmed 30-week manufacturing lead time for EQ-006.</t>
        </is>
      </c>
      <c r="E71" s="8" t="inlineStr">
        <is>
          <t>EQ-006 risk tier escalated to CRITICAL. Supply chain risk index increased.</t>
        </is>
      </c>
      <c r="F71" s="40" t="inlineStr">
        <is>
          <t>APPROVED</t>
        </is>
      </c>
      <c r="G71" s="8" t="inlineStr">
        <is>
          <t>Daifuku PO confirmation email</t>
        </is>
      </c>
    </row>
    <row r="72">
      <c r="A72" s="6" t="inlineStr">
        <is>
          <t>V1.7</t>
        </is>
      </c>
      <c r="B72" s="6" t="inlineStr">
        <is>
          <t>2025-03-19</t>
        </is>
      </c>
      <c r="C72" s="6" t="inlineStr">
        <is>
          <t>Sourabh Tarodekar (TPM)</t>
        </is>
      </c>
      <c r="D72" s="8" t="inlineStr">
        <is>
          <t>AR Summary populated and submitted to VP Engineering + CFO. Budget: $40.04M (Scenario B benchmark).</t>
        </is>
      </c>
      <c r="E72" s="8" t="inlineStr">
        <is>
          <t>Formal program approval process initiated. Model frozen for AR submission.</t>
        </is>
      </c>
      <c r="F72" s="40" t="inlineStr">
        <is>
          <t>APPROVED</t>
        </is>
      </c>
      <c r="G72" s="8" t="inlineStr">
        <is>
          <t>AR-2025-0082 submitted to Finance</t>
        </is>
      </c>
    </row>
    <row r="73">
      <c r="A73" s="6" t="inlineStr">
        <is>
          <t>V1.8</t>
        </is>
      </c>
      <c r="B73" s="6" t="inlineStr">
        <is>
          <t>2025-04-05</t>
        </is>
      </c>
      <c r="C73" s="6" t="inlineStr">
        <is>
          <t>R. Patel (Finance)</t>
        </is>
      </c>
      <c r="D73" s="8" t="inlineStr">
        <is>
          <t>AR approved. POs placed for long-lead items. Spend tracking model activated.</t>
        </is>
      </c>
      <c r="E73" s="8" t="inlineStr">
        <is>
          <t>Program execution phase begins. Cash flow schedule now active.</t>
        </is>
      </c>
      <c r="F73" s="40" t="inlineStr">
        <is>
          <t>APPROVED</t>
        </is>
      </c>
      <c r="G73" s="8" t="inlineStr">
        <is>
          <t>CFO approval email 2025-04-05</t>
        </is>
      </c>
    </row>
    <row r="74">
      <c r="A74" s="6" t="inlineStr">
        <is>
          <t>V1.9</t>
        </is>
      </c>
      <c r="B74" s="6" t="inlineStr">
        <is>
          <t>2025-05-12</t>
        </is>
      </c>
      <c r="C74" s="6" t="inlineStr">
        <is>
          <t>P. Singh (IT/OT)</t>
        </is>
      </c>
      <c r="D74" s="8" t="inlineStr">
        <is>
          <t>IT/OT DMZ infrastructure cost ($45K) added to scope. CR-009 raised.</t>
        </is>
      </c>
      <c r="E74" s="8" t="inlineStr">
        <is>
          <t>Contingency draw of $45K. Change tracker updated. Contingency at 5.8%.</t>
        </is>
      </c>
      <c r="F74" s="46" t="inlineStr">
        <is>
          <t>UNDER REVIEW</t>
        </is>
      </c>
      <c r="G74" s="8" t="inlineStr">
        <is>
          <t>CR-009 pending PM approval</t>
        </is>
      </c>
    </row>
    <row r="75">
      <c r="A75" s="6" t="inlineStr">
        <is>
          <t>V2.0</t>
        </is>
      </c>
      <c r="B75" s="6" t="inlineStr">
        <is>
          <t>2025-05-19</t>
        </is>
      </c>
      <c r="C75" s="6" t="inlineStr">
        <is>
          <t>Sourabh Tarodekar (TPM)</t>
        </is>
      </c>
      <c r="D75" s="8" t="inlineStr">
        <is>
          <t>Version 2.0 release: Cash flow schedule, FX exposure model, and ROI tracker sheets added.</t>
        </is>
      </c>
      <c r="E75" s="8" t="inlineStr">
        <is>
          <t>Workbook extended with 4 new analytical sheets. Full model refresh completed.</t>
        </is>
      </c>
      <c r="F75" s="40" t="inlineStr">
        <is>
          <t>APPROVED</t>
        </is>
      </c>
      <c r="G75" s="8" t="inlineStr">
        <is>
          <t>Issued to Finance and Engineering Leadership</t>
        </is>
      </c>
    </row>
  </sheetData>
  <mergeCells count="11">
    <mergeCell ref="A2:F2"/>
    <mergeCell ref="A54:F54"/>
    <mergeCell ref="A28:F28"/>
    <mergeCell ref="A13:F13"/>
    <mergeCell ref="A1:F1"/>
    <mergeCell ref="A45:F45"/>
    <mergeCell ref="A6:F6"/>
    <mergeCell ref="A35:F35"/>
    <mergeCell ref="A4:F4"/>
    <mergeCell ref="A21:F21"/>
    <mergeCell ref="A63:G63"/>
  </mergeCells>
  <pageMargins left="0.75" right="0.75" top="1" bottom="1" header="0.5" footer="0.5"/>
</worksheet>
</file>

<file path=xl/worksheets/sheet6.xml><?xml version="1.0" encoding="utf-8"?>
<worksheet xmlns="http://schemas.openxmlformats.org/spreadsheetml/2006/main">
  <sheetPr>
    <tabColor rgb="001F4E78"/>
    <outlinePr summaryBelow="1" summaryRight="1"/>
    <pageSetUpPr/>
  </sheetPr>
  <dimension ref="A1:S40"/>
  <sheetViews>
    <sheetView workbookViewId="0">
      <pane ySplit="5" topLeftCell="A6" activePane="bottomLeft" state="frozen"/>
      <selection pane="bottomLeft" activeCell="A1" sqref="A1"/>
    </sheetView>
  </sheetViews>
  <sheetFormatPr baseColWidth="8" defaultRowHeight="15"/>
  <cols>
    <col width="10" customWidth="1" min="1" max="1"/>
    <col width="20" customWidth="1" min="2" max="2"/>
    <col width="34" customWidth="1" min="3" max="3"/>
    <col width="24" customWidth="1" min="4" max="4"/>
    <col width="8" customWidth="1" min="5" max="5"/>
    <col width="6" customWidth="1" min="6" max="6"/>
    <col width="12" customWidth="1" min="7" max="7"/>
    <col width="6" customWidth="1" min="8" max="8"/>
    <col width="14" customWidth="1" min="9" max="9"/>
    <col width="14" customWidth="1" min="10" max="10"/>
    <col width="13" customWidth="1" min="11" max="11"/>
    <col width="8" customWidth="1" min="12" max="12"/>
    <col width="13" customWidth="1" min="13" max="13"/>
    <col width="12" customWidth="1" min="14" max="14"/>
    <col width="12" customWidth="1" min="15" max="15"/>
    <col width="10" customWidth="1" min="16" max="16"/>
    <col width="14" customWidth="1" min="17" max="17"/>
    <col width="46" customWidth="1" min="18" max="18"/>
    <col width="12" customWidth="1" min="19" max="19"/>
  </cols>
  <sheetData>
    <row r="1" ht="26" customHeight="1">
      <c r="A1" s="53" t="inlineStr">
        <is>
          <t>S02 — CapEx Equipment Portfolio Dataset — Advanced Manufacturing Program</t>
        </is>
      </c>
    </row>
    <row r="2" ht="15" customHeight="1">
      <c r="A2" s="2" t="inlineStr">
        <is>
          <t>Fiscal Year: 2025 | Portfolio Director: Sourabh Tarodekar | Status: Active | Blue = Hardcoded Input · Black = Formula · Green = Cross-sheet Link | Program ID column (right-most) enables portfolio-wide SUMIFS rollups in S33-S35</t>
        </is>
      </c>
    </row>
    <row r="4" ht="30" customHeight="1">
      <c r="A4" s="54" t="inlineStr">
        <is>
          <t>Equip. ID</t>
        </is>
      </c>
      <c r="B4" s="54" t="inlineStr">
        <is>
          <t>Category</t>
        </is>
      </c>
      <c r="C4" s="54" t="inlineStr">
        <is>
          <t>Tool Type / Model</t>
        </is>
      </c>
      <c r="D4" s="54" t="inlineStr">
        <is>
          <t>Supplier</t>
        </is>
      </c>
      <c r="E4" s="54" t="inlineStr">
        <is>
          <t>Region</t>
        </is>
      </c>
      <c r="F4" s="54" t="inlineStr">
        <is>
          <t>Ccy</t>
        </is>
      </c>
      <c r="G4" s="54" t="inlineStr">
        <is>
          <t>Unit Cost (USD)</t>
        </is>
      </c>
      <c r="H4" s="54" t="inlineStr">
        <is>
          <t>Qty</t>
        </is>
      </c>
      <c r="I4" s="54" t="inlineStr">
        <is>
          <t>Total Equip. Cost (USD)</t>
        </is>
      </c>
      <c r="J4" s="54" t="inlineStr">
        <is>
          <t>Install Cost/Unit (USD)</t>
        </is>
      </c>
      <c r="K4" s="54" t="inlineStr">
        <is>
          <t>Install Total (USD)</t>
        </is>
      </c>
      <c r="L4" s="54" t="inlineStr">
        <is>
          <t>Life (yrs)</t>
        </is>
      </c>
      <c r="M4" s="54" t="inlineStr">
        <is>
          <t>Energy (kWh/hr)</t>
        </is>
      </c>
      <c r="N4" s="54" t="inlineStr">
        <is>
          <t>Annual Maint. Rate (%)</t>
        </is>
      </c>
      <c r="O4" s="54" t="inlineStr">
        <is>
          <t>Throughput (u/hr)</t>
        </is>
      </c>
      <c r="P4" s="54" t="inlineStr">
        <is>
          <t>Op Hrs/Yr</t>
        </is>
      </c>
      <c r="Q4" s="54" t="inlineStr">
        <is>
          <t>Annual Energy Cost (USD)</t>
        </is>
      </c>
      <c r="R4" s="54" t="inlineStr">
        <is>
          <t>Engineering Notes</t>
        </is>
      </c>
      <c r="S4" s="54" t="inlineStr">
        <is>
          <t>Program ID</t>
        </is>
      </c>
    </row>
    <row r="5">
      <c r="A5" s="43" t="inlineStr">
        <is>
          <t>EQ-001</t>
        </is>
      </c>
      <c r="B5" s="43" t="inlineStr">
        <is>
          <t>Vacuum Pump System</t>
        </is>
      </c>
      <c r="C5" s="43" t="inlineStr">
        <is>
          <t>Dry Screw Vacuum Pump – 250 m³/hr</t>
        </is>
      </c>
      <c r="D5" s="43" t="inlineStr">
        <is>
          <t>Edwards Vacuum</t>
        </is>
      </c>
      <c r="E5" s="43" t="inlineStr">
        <is>
          <t>UK</t>
        </is>
      </c>
      <c r="F5" s="43" t="inlineStr">
        <is>
          <t>EUR</t>
        </is>
      </c>
      <c r="G5" s="48" t="n">
        <v>185000</v>
      </c>
      <c r="H5" s="43" t="n">
        <v>4</v>
      </c>
      <c r="I5" s="31">
        <f>G5*H5</f>
        <v/>
      </c>
      <c r="J5" s="48" t="n">
        <v>22000</v>
      </c>
      <c r="K5" s="31">
        <f>J5*H5</f>
        <v/>
      </c>
      <c r="L5" s="43" t="n">
        <v>12</v>
      </c>
      <c r="M5" s="43" t="n">
        <v>18.5</v>
      </c>
      <c r="N5" s="47" t="n">
        <v>0.06</v>
      </c>
      <c r="O5" s="43" t="n">
        <v>0</v>
      </c>
      <c r="P5" s="43" t="n">
        <v>8320</v>
      </c>
      <c r="Q5" s="41">
        <f>M5*P5*'S01_Disclaimer_Assumptions'!$B$8</f>
        <v/>
      </c>
      <c r="R5" s="8" t="inlineStr">
        <is>
          <t>Requires N2 purge line; facility electrical upgrade needed prior to installation</t>
        </is>
      </c>
      <c r="S5" s="55" t="inlineStr">
        <is>
          <t>PRG-001</t>
        </is>
      </c>
    </row>
    <row r="6">
      <c r="A6" s="43" t="inlineStr">
        <is>
          <t>EQ-002</t>
        </is>
      </c>
      <c r="B6" s="43" t="inlineStr">
        <is>
          <t>Vacuum Pump System</t>
        </is>
      </c>
      <c r="C6" s="43" t="inlineStr">
        <is>
          <t>Turbomolecular Pump Assembly – 2000 L/s</t>
        </is>
      </c>
      <c r="D6" s="43" t="inlineStr">
        <is>
          <t>Pfeiffer Vacuum</t>
        </is>
      </c>
      <c r="E6" s="43" t="inlineStr">
        <is>
          <t>DE</t>
        </is>
      </c>
      <c r="F6" s="43" t="inlineStr">
        <is>
          <t>EUR</t>
        </is>
      </c>
      <c r="G6" s="48" t="n">
        <v>310000</v>
      </c>
      <c r="H6" s="43" t="n">
        <v>3</v>
      </c>
      <c r="I6" s="31">
        <f>G6*H6</f>
        <v/>
      </c>
      <c r="J6" s="48" t="n">
        <v>28000</v>
      </c>
      <c r="K6" s="31">
        <f>J6*H6</f>
        <v/>
      </c>
      <c r="L6" s="43" t="n">
        <v>10</v>
      </c>
      <c r="M6" s="43" t="n">
        <v>12</v>
      </c>
      <c r="N6" s="47" t="n">
        <v>0.05</v>
      </c>
      <c r="O6" s="43" t="n">
        <v>0</v>
      </c>
      <c r="P6" s="43" t="n">
        <v>8320</v>
      </c>
      <c r="Q6" s="41">
        <f>M6*P6*'S01_Disclaimer_Assumptions'!$B$8</f>
        <v/>
      </c>
      <c r="R6" s="8" t="inlineStr">
        <is>
          <t>Single-source supplier; no qualified alt vendor as of Q1-2025; lead time under review</t>
        </is>
      </c>
      <c r="S6" s="55" t="inlineStr">
        <is>
          <t>PRG-001</t>
        </is>
      </c>
    </row>
    <row r="7">
      <c r="A7" s="43" t="inlineStr">
        <is>
          <t>EQ-003</t>
        </is>
      </c>
      <c r="B7" s="43" t="inlineStr">
        <is>
          <t>High-Temp Furnace</t>
        </is>
      </c>
      <c r="C7" s="43" t="inlineStr">
        <is>
          <t>Tube Furnace System – 1200°C / 8-zone</t>
        </is>
      </c>
      <c r="D7" s="43" t="inlineStr">
        <is>
          <t>Thermco Systems</t>
        </is>
      </c>
      <c r="E7" s="43" t="inlineStr">
        <is>
          <t>USA</t>
        </is>
      </c>
      <c r="F7" s="43" t="inlineStr">
        <is>
          <t>USD</t>
        </is>
      </c>
      <c r="G7" s="48" t="n">
        <v>520000</v>
      </c>
      <c r="H7" s="43" t="n">
        <v>2</v>
      </c>
      <c r="I7" s="31">
        <f>G7*H7</f>
        <v/>
      </c>
      <c r="J7" s="48" t="n">
        <v>45000</v>
      </c>
      <c r="K7" s="31">
        <f>J7*H7</f>
        <v/>
      </c>
      <c r="L7" s="43" t="n">
        <v>15</v>
      </c>
      <c r="M7" s="43" t="n">
        <v>95</v>
      </c>
      <c r="N7" s="47" t="n">
        <v>0.04</v>
      </c>
      <c r="O7" s="43" t="n">
        <v>24</v>
      </c>
      <c r="P7" s="43" t="n">
        <v>8320</v>
      </c>
      <c r="Q7" s="41">
        <f>M7*P7*'S01_Disclaimer_Assumptions'!$B$8</f>
        <v/>
      </c>
      <c r="R7" s="8" t="inlineStr">
        <is>
          <t>FAT to be conducted at supplier site in Austin, TX; includes process recipe transfer</t>
        </is>
      </c>
      <c r="S7" s="55" t="inlineStr">
        <is>
          <t>PRG-001</t>
        </is>
      </c>
    </row>
    <row r="8">
      <c r="A8" s="43" t="inlineStr">
        <is>
          <t>EQ-004</t>
        </is>
      </c>
      <c r="B8" s="43" t="inlineStr">
        <is>
          <t>High-Temp Furnace</t>
        </is>
      </c>
      <c r="C8" s="43" t="inlineStr">
        <is>
          <t>Batch Oxidation Furnace – 1100°C</t>
        </is>
      </c>
      <c r="D8" s="43" t="inlineStr">
        <is>
          <t>Tokyo Electron Ltd</t>
        </is>
      </c>
      <c r="E8" s="43" t="inlineStr">
        <is>
          <t>JP</t>
        </is>
      </c>
      <c r="F8" s="43" t="inlineStr">
        <is>
          <t>JPY</t>
        </is>
      </c>
      <c r="G8" s="48" t="n">
        <v>680000</v>
      </c>
      <c r="H8" s="43" t="n">
        <v>2</v>
      </c>
      <c r="I8" s="31">
        <f>G8*H8</f>
        <v/>
      </c>
      <c r="J8" s="48" t="n">
        <v>52000</v>
      </c>
      <c r="K8" s="31">
        <f>J8*H8</f>
        <v/>
      </c>
      <c r="L8" s="43" t="n">
        <v>15</v>
      </c>
      <c r="M8" s="43" t="n">
        <v>110</v>
      </c>
      <c r="N8" s="47" t="n">
        <v>0.045</v>
      </c>
      <c r="O8" s="43" t="n">
        <v>18</v>
      </c>
      <c r="P8" s="43" t="n">
        <v>8320</v>
      </c>
      <c r="Q8" s="41">
        <f>M8*P8*'S01_Disclaimer_Assumptions'!$B$8</f>
        <v/>
      </c>
      <c r="R8" s="8" t="inlineStr">
        <is>
          <t>JPY-denominated; FX hedge required; import duty ~3.2%; installation requires crane lift</t>
        </is>
      </c>
      <c r="S8" s="55" t="inlineStr">
        <is>
          <t>PRG-001</t>
        </is>
      </c>
    </row>
    <row r="9">
      <c r="A9" s="43" t="inlineStr">
        <is>
          <t>EQ-005</t>
        </is>
      </c>
      <c r="B9" s="43" t="inlineStr">
        <is>
          <t>Robotics / Automation</t>
        </is>
      </c>
      <c r="C9" s="43" t="inlineStr">
        <is>
          <t>6-Axis Wafer Transfer Robot – SCARA</t>
        </is>
      </c>
      <c r="D9" s="43" t="inlineStr">
        <is>
          <t>Brooks Automation</t>
        </is>
      </c>
      <c r="E9" s="43" t="inlineStr">
        <is>
          <t>USA</t>
        </is>
      </c>
      <c r="F9" s="43" t="inlineStr">
        <is>
          <t>USD</t>
        </is>
      </c>
      <c r="G9" s="48" t="n">
        <v>275000</v>
      </c>
      <c r="H9" s="43" t="n">
        <v>6</v>
      </c>
      <c r="I9" s="31">
        <f>G9*H9</f>
        <v/>
      </c>
      <c r="J9" s="48" t="n">
        <v>18000</v>
      </c>
      <c r="K9" s="31">
        <f>J9*H9</f>
        <v/>
      </c>
      <c r="L9" s="43" t="n">
        <v>10</v>
      </c>
      <c r="M9" s="43" t="n">
        <v>4.2</v>
      </c>
      <c r="N9" s="47" t="n">
        <v>0.05</v>
      </c>
      <c r="O9" s="43" t="n">
        <v>120</v>
      </c>
      <c r="P9" s="43" t="n">
        <v>8320</v>
      </c>
      <c r="Q9" s="41">
        <f>M9*P9*'S01_Disclaimer_Assumptions'!$B$8</f>
        <v/>
      </c>
      <c r="R9" s="8" t="inlineStr">
        <is>
          <t>Software integration with fab MES required; vendor to supply integration team on-site</t>
        </is>
      </c>
      <c r="S9" s="55" t="inlineStr">
        <is>
          <t>PRG-001</t>
        </is>
      </c>
    </row>
    <row r="10">
      <c r="A10" s="43" t="inlineStr">
        <is>
          <t>EQ-006</t>
        </is>
      </c>
      <c r="B10" s="43" t="inlineStr">
        <is>
          <t>Robotics / Automation</t>
        </is>
      </c>
      <c r="C10" s="43" t="inlineStr">
        <is>
          <t>Overhead Track Conveyor – 50m loop</t>
        </is>
      </c>
      <c r="D10" s="43" t="inlineStr">
        <is>
          <t>Daifuku</t>
        </is>
      </c>
      <c r="E10" s="43" t="inlineStr">
        <is>
          <t>JP</t>
        </is>
      </c>
      <c r="F10" s="43" t="inlineStr">
        <is>
          <t>JPY</t>
        </is>
      </c>
      <c r="G10" s="48" t="n">
        <v>420000</v>
      </c>
      <c r="H10" s="43" t="n">
        <v>1</v>
      </c>
      <c r="I10" s="31">
        <f>G10*H10</f>
        <v/>
      </c>
      <c r="J10" s="48" t="n">
        <v>85000</v>
      </c>
      <c r="K10" s="31">
        <f>J10*H10</f>
        <v/>
      </c>
      <c r="L10" s="43" t="n">
        <v>12</v>
      </c>
      <c r="M10" s="43" t="n">
        <v>22</v>
      </c>
      <c r="N10" s="47" t="n">
        <v>0.04</v>
      </c>
      <c r="O10" s="43" t="n">
        <v>0</v>
      </c>
      <c r="P10" s="43" t="n">
        <v>8320</v>
      </c>
      <c r="Q10" s="41">
        <f>M10*P10*'S01_Disclaimer_Assumptions'!$B$8</f>
        <v/>
      </c>
      <c r="R10" s="8" t="inlineStr">
        <is>
          <t>Single installation; civil works for track mounts included in install cost estimate</t>
        </is>
      </c>
      <c r="S10" s="55" t="inlineStr">
        <is>
          <t>PRG-001</t>
        </is>
      </c>
    </row>
    <row r="11">
      <c r="A11" s="43" t="inlineStr">
        <is>
          <t>EQ-007</t>
        </is>
      </c>
      <c r="B11" s="43" t="inlineStr">
        <is>
          <t>Gas Handling System</t>
        </is>
      </c>
      <c r="C11" s="43" t="inlineStr">
        <is>
          <t>Process Gas Cabinet – 6-zone manifold</t>
        </is>
      </c>
      <c r="D11" s="43" t="inlineStr">
        <is>
          <t>Air Liquide Engineering</t>
        </is>
      </c>
      <c r="E11" s="43" t="inlineStr">
        <is>
          <t>FR</t>
        </is>
      </c>
      <c r="F11" s="43" t="inlineStr">
        <is>
          <t>EUR</t>
        </is>
      </c>
      <c r="G11" s="48" t="n">
        <v>195000</v>
      </c>
      <c r="H11" s="43" t="n">
        <v>4</v>
      </c>
      <c r="I11" s="31">
        <f>G11*H11</f>
        <v/>
      </c>
      <c r="J11" s="48" t="n">
        <v>32000</v>
      </c>
      <c r="K11" s="31">
        <f>J11*H11</f>
        <v/>
      </c>
      <c r="L11" s="43" t="n">
        <v>12</v>
      </c>
      <c r="M11" s="43" t="n">
        <v>0.8</v>
      </c>
      <c r="N11" s="47" t="n">
        <v>0.06</v>
      </c>
      <c r="O11" s="43" t="n">
        <v>0</v>
      </c>
      <c r="P11" s="43" t="n">
        <v>8320</v>
      </c>
      <c r="Q11" s="41">
        <f>M11*P11*'S01_Disclaimer_Assumptions'!$B$8</f>
        <v/>
      </c>
      <c r="R11" s="8" t="inlineStr">
        <is>
          <t>Hazmat classified; requires local regulatory permit; supplier quote under negotiation</t>
        </is>
      </c>
      <c r="S11" s="55" t="inlineStr">
        <is>
          <t>PRG-001</t>
        </is>
      </c>
    </row>
    <row r="12">
      <c r="A12" s="43" t="inlineStr">
        <is>
          <t>EQ-008</t>
        </is>
      </c>
      <c r="B12" s="43" t="inlineStr">
        <is>
          <t>Gas Handling System</t>
        </is>
      </c>
      <c r="C12" s="43" t="inlineStr">
        <is>
          <t>Bulk Gas Storage &amp; Delivery – N2/O2/Ar</t>
        </is>
      </c>
      <c r="D12" s="43" t="inlineStr">
        <is>
          <t>Linde Engineering</t>
        </is>
      </c>
      <c r="E12" s="43" t="inlineStr">
        <is>
          <t>DE</t>
        </is>
      </c>
      <c r="F12" s="43" t="inlineStr">
        <is>
          <t>EUR</t>
        </is>
      </c>
      <c r="G12" s="48" t="n">
        <v>340000</v>
      </c>
      <c r="H12" s="43" t="n">
        <v>1</v>
      </c>
      <c r="I12" s="31">
        <f>G12*H12</f>
        <v/>
      </c>
      <c r="J12" s="48" t="n">
        <v>120000</v>
      </c>
      <c r="K12" s="31">
        <f>J12*H12</f>
        <v/>
      </c>
      <c r="L12" s="43" t="n">
        <v>20</v>
      </c>
      <c r="M12" s="43" t="n">
        <v>2.5</v>
      </c>
      <c r="N12" s="47" t="n">
        <v>0.03</v>
      </c>
      <c r="O12" s="43" t="n">
        <v>0</v>
      </c>
      <c r="P12" s="43" t="n">
        <v>8320</v>
      </c>
      <c r="Q12" s="41">
        <f>M12*P12*'S01_Disclaimer_Assumptions'!$B$8</f>
        <v/>
      </c>
      <c r="R12" s="8" t="inlineStr">
        <is>
          <t>Facility infrastructure tie-in; utility coordination required with site civil team</t>
        </is>
      </c>
      <c r="S12" s="55" t="inlineStr">
        <is>
          <t>PRG-001</t>
        </is>
      </c>
    </row>
    <row r="13">
      <c r="A13" s="43" t="inlineStr">
        <is>
          <t>EQ-009</t>
        </is>
      </c>
      <c r="B13" s="43" t="inlineStr">
        <is>
          <t>PLC Control System</t>
        </is>
      </c>
      <c r="C13" s="43" t="inlineStr">
        <is>
          <t>Distributed Control System – Siemens S7-1500</t>
        </is>
      </c>
      <c r="D13" s="43" t="inlineStr">
        <is>
          <t>Siemens AG</t>
        </is>
      </c>
      <c r="E13" s="43" t="inlineStr">
        <is>
          <t>DE</t>
        </is>
      </c>
      <c r="F13" s="43" t="inlineStr">
        <is>
          <t>EUR</t>
        </is>
      </c>
      <c r="G13" s="48" t="n">
        <v>165000</v>
      </c>
      <c r="H13" s="43" t="n">
        <v>5</v>
      </c>
      <c r="I13" s="31">
        <f>G13*H13</f>
        <v/>
      </c>
      <c r="J13" s="48" t="n">
        <v>15000</v>
      </c>
      <c r="K13" s="31">
        <f>J13*H13</f>
        <v/>
      </c>
      <c r="L13" s="43" t="n">
        <v>10</v>
      </c>
      <c r="M13" s="43" t="n">
        <v>1.2</v>
      </c>
      <c r="N13" s="47" t="n">
        <v>0.07000000000000001</v>
      </c>
      <c r="O13" s="43" t="n">
        <v>0</v>
      </c>
      <c r="P13" s="43" t="n">
        <v>8320</v>
      </c>
      <c r="Q13" s="41">
        <f>M13*P13*'S01_Disclaimer_Assumptions'!$B$8</f>
        <v/>
      </c>
      <c r="R13" s="8" t="inlineStr">
        <is>
          <t>Software license included; annual subscription renewal at $12K/system; cybersecurity review pending</t>
        </is>
      </c>
      <c r="S13" s="55" t="inlineStr">
        <is>
          <t>PRG-001</t>
        </is>
      </c>
    </row>
    <row r="14">
      <c r="A14" s="43" t="inlineStr">
        <is>
          <t>EQ-010</t>
        </is>
      </c>
      <c r="B14" s="43" t="inlineStr">
        <is>
          <t>PLC Control System</t>
        </is>
      </c>
      <c r="C14" s="43" t="inlineStr">
        <is>
          <t>SCADA Integration Platform – Ignition</t>
        </is>
      </c>
      <c r="D14" s="43" t="inlineStr">
        <is>
          <t>Inductive Automation</t>
        </is>
      </c>
      <c r="E14" s="43" t="inlineStr">
        <is>
          <t>USA</t>
        </is>
      </c>
      <c r="F14" s="43" t="inlineStr">
        <is>
          <t>USD</t>
        </is>
      </c>
      <c r="G14" s="48" t="n">
        <v>85000</v>
      </c>
      <c r="H14" s="43" t="n">
        <v>3</v>
      </c>
      <c r="I14" s="31">
        <f>G14*H14</f>
        <v/>
      </c>
      <c r="J14" s="48" t="n">
        <v>8000</v>
      </c>
      <c r="K14" s="31">
        <f>J14*H14</f>
        <v/>
      </c>
      <c r="L14" s="43" t="n">
        <v>8</v>
      </c>
      <c r="M14" s="43" t="n">
        <v>0.5</v>
      </c>
      <c r="N14" s="47" t="n">
        <v>0.08</v>
      </c>
      <c r="O14" s="43" t="n">
        <v>0</v>
      </c>
      <c r="P14" s="43" t="n">
        <v>8320</v>
      </c>
      <c r="Q14" s="41">
        <f>M14*P14*'S01_Disclaimer_Assumptions'!$B$8</f>
        <v/>
      </c>
      <c r="R14" s="8" t="inlineStr">
        <is>
          <t>Server hardware separate line item; IT/OT network segmentation required by InfoSec</t>
        </is>
      </c>
      <c r="S14" s="55" t="inlineStr">
        <is>
          <t>PRG-001</t>
        </is>
      </c>
    </row>
    <row r="15">
      <c r="A15" s="43" t="inlineStr">
        <is>
          <t>EQ-011</t>
        </is>
      </c>
      <c r="B15" s="43" t="inlineStr">
        <is>
          <t>Facility Infra – Power</t>
        </is>
      </c>
      <c r="C15" s="43" t="inlineStr">
        <is>
          <t>Dry-Type Transformer – 2 MVA / 480V</t>
        </is>
      </c>
      <c r="D15" s="43" t="inlineStr">
        <is>
          <t>ABB Ltd</t>
        </is>
      </c>
      <c r="E15" s="43" t="inlineStr">
        <is>
          <t>CH</t>
        </is>
      </c>
      <c r="F15" s="43" t="inlineStr">
        <is>
          <t>USD</t>
        </is>
      </c>
      <c r="G15" s="48" t="n">
        <v>210000</v>
      </c>
      <c r="H15" s="43" t="n">
        <v>2</v>
      </c>
      <c r="I15" s="31">
        <f>G15*H15</f>
        <v/>
      </c>
      <c r="J15" s="48" t="n">
        <v>35000</v>
      </c>
      <c r="K15" s="31">
        <f>J15*H15</f>
        <v/>
      </c>
      <c r="L15" s="43" t="n">
        <v>25</v>
      </c>
      <c r="M15" s="43" t="n">
        <v>0</v>
      </c>
      <c r="N15" s="47" t="n">
        <v>0.02</v>
      </c>
      <c r="O15" s="43" t="n">
        <v>0</v>
      </c>
      <c r="P15" s="43" t="n">
        <v>8760</v>
      </c>
      <c r="Q15" s="41">
        <f>M15*P15*'S01_Disclaimer_Assumptions'!$B$8</f>
        <v/>
      </c>
      <c r="R15" s="8" t="inlineStr">
        <is>
          <t>Component reused from prior program (legacy); refurbishment cost included in install</t>
        </is>
      </c>
      <c r="S15" s="55" t="inlineStr">
        <is>
          <t>PRG-001</t>
        </is>
      </c>
    </row>
    <row r="16">
      <c r="A16" s="43" t="inlineStr">
        <is>
          <t>EQ-012</t>
        </is>
      </c>
      <c r="B16" s="43" t="inlineStr">
        <is>
          <t>Facility Infra – Cooling</t>
        </is>
      </c>
      <c r="C16" s="43" t="inlineStr">
        <is>
          <t>Process Chiller System – 200 kW</t>
        </is>
      </c>
      <c r="D16" s="43" t="inlineStr">
        <is>
          <t>Daikin Applied</t>
        </is>
      </c>
      <c r="E16" s="43" t="inlineStr">
        <is>
          <t>JP</t>
        </is>
      </c>
      <c r="F16" s="43" t="inlineStr">
        <is>
          <t>JPY</t>
        </is>
      </c>
      <c r="G16" s="48" t="n">
        <v>295000</v>
      </c>
      <c r="H16" s="43" t="n">
        <v>3</v>
      </c>
      <c r="I16" s="31">
        <f>G16*H16</f>
        <v/>
      </c>
      <c r="J16" s="48" t="n">
        <v>40000</v>
      </c>
      <c r="K16" s="31">
        <f>J16*H16</f>
        <v/>
      </c>
      <c r="L16" s="43" t="n">
        <v>15</v>
      </c>
      <c r="M16" s="43" t="n">
        <v>68</v>
      </c>
      <c r="N16" s="47" t="n">
        <v>0.05</v>
      </c>
      <c r="O16" s="43" t="n">
        <v>0</v>
      </c>
      <c r="P16" s="43" t="n">
        <v>8760</v>
      </c>
      <c r="Q16" s="41">
        <f>M16*P16*'S01_Disclaimer_Assumptions'!$B$8</f>
        <v/>
      </c>
      <c r="R16" s="8" t="inlineStr">
        <is>
          <t>Glycol loop design pending; coordinate with mechanical engineering; JPY FX risk noted</t>
        </is>
      </c>
      <c r="S16" s="55" t="inlineStr">
        <is>
          <t>PRG-001</t>
        </is>
      </c>
    </row>
    <row r="17">
      <c r="A17" s="43" t="inlineStr">
        <is>
          <t>EQ-013</t>
        </is>
      </c>
      <c r="B17" s="43" t="inlineStr">
        <is>
          <t>Vacuum Pump System</t>
        </is>
      </c>
      <c r="C17" s="43" t="inlineStr">
        <is>
          <t>Roots Blower Booster – 500 m³/hr</t>
        </is>
      </c>
      <c r="D17" s="43" t="inlineStr">
        <is>
          <t>Busch Vacuum</t>
        </is>
      </c>
      <c r="E17" s="43" t="inlineStr">
        <is>
          <t>DE</t>
        </is>
      </c>
      <c r="F17" s="43" t="inlineStr">
        <is>
          <t>EUR</t>
        </is>
      </c>
      <c r="G17" s="48" t="n">
        <v>125000</v>
      </c>
      <c r="H17" s="43" t="n">
        <v>6</v>
      </c>
      <c r="I17" s="31">
        <f>G17*H17</f>
        <v/>
      </c>
      <c r="J17" s="48" t="n">
        <v>14000</v>
      </c>
      <c r="K17" s="31">
        <f>J17*H17</f>
        <v/>
      </c>
      <c r="L17" s="43" t="n">
        <v>10</v>
      </c>
      <c r="M17" s="43" t="n">
        <v>28</v>
      </c>
      <c r="N17" s="47" t="n">
        <v>0.06</v>
      </c>
      <c r="O17" s="43" t="n">
        <v>0</v>
      </c>
      <c r="P17" s="43" t="n">
        <v>8320</v>
      </c>
      <c r="Q17" s="41">
        <f>M17*P17*'S01_Disclaimer_Assumptions'!$B$8</f>
        <v/>
      </c>
      <c r="R17" s="8" t="inlineStr">
        <is>
          <t>Paired with EQ-001 dry screw pumps; interdependent installation sequence required</t>
        </is>
      </c>
      <c r="S17" s="55" t="inlineStr">
        <is>
          <t>PRG-001</t>
        </is>
      </c>
    </row>
    <row r="18">
      <c r="A18" s="43" t="inlineStr">
        <is>
          <t>EQ-014</t>
        </is>
      </c>
      <c r="B18" s="43" t="inlineStr">
        <is>
          <t>High-Temp Furnace</t>
        </is>
      </c>
      <c r="C18" s="43" t="inlineStr">
        <is>
          <t>RTP – Rapid Thermal Processor</t>
        </is>
      </c>
      <c r="D18" s="43" t="inlineStr">
        <is>
          <t>Applied Materials</t>
        </is>
      </c>
      <c r="E18" s="43" t="inlineStr">
        <is>
          <t>USA</t>
        </is>
      </c>
      <c r="F18" s="43" t="inlineStr">
        <is>
          <t>USD</t>
        </is>
      </c>
      <c r="G18" s="48" t="n">
        <v>875000</v>
      </c>
      <c r="H18" s="43" t="n">
        <v>2</v>
      </c>
      <c r="I18" s="31">
        <f>G18*H18</f>
        <v/>
      </c>
      <c r="J18" s="48" t="n">
        <v>60000</v>
      </c>
      <c r="K18" s="31">
        <f>J18*H18</f>
        <v/>
      </c>
      <c r="L18" s="43" t="n">
        <v>12</v>
      </c>
      <c r="M18" s="43" t="n">
        <v>85</v>
      </c>
      <c r="N18" s="47" t="n">
        <v>0.04</v>
      </c>
      <c r="O18" s="43" t="n">
        <v>32</v>
      </c>
      <c r="P18" s="43" t="n">
        <v>8320</v>
      </c>
      <c r="Q18" s="41">
        <f>M18*P18*'S01_Disclaimer_Assumptions'!$B$8</f>
        <v/>
      </c>
      <c r="R18" s="8" t="inlineStr">
        <is>
          <t>Highest unit cost item; finance approval gate required before PO issuance; AR pending</t>
        </is>
      </c>
      <c r="S18" s="55" t="inlineStr">
        <is>
          <t>PRG-001</t>
        </is>
      </c>
    </row>
    <row r="19">
      <c r="A19" s="43" t="inlineStr">
        <is>
          <t>EQ-015</t>
        </is>
      </c>
      <c r="B19" s="43" t="inlineStr">
        <is>
          <t>Robotics / Automation</t>
        </is>
      </c>
      <c r="C19" s="43" t="inlineStr">
        <is>
          <t>AMR Fleet – Autonomous Mobile Robots (×10)</t>
        </is>
      </c>
      <c r="D19" s="43" t="inlineStr">
        <is>
          <t>Mobile Industrial Robots (MiR)</t>
        </is>
      </c>
      <c r="E19" s="43" t="inlineStr">
        <is>
          <t>DK</t>
        </is>
      </c>
      <c r="F19" s="43" t="inlineStr">
        <is>
          <t>EUR</t>
        </is>
      </c>
      <c r="G19" s="48" t="n">
        <v>380000</v>
      </c>
      <c r="H19" s="43" t="n">
        <v>1</v>
      </c>
      <c r="I19" s="31">
        <f>G19*H19</f>
        <v/>
      </c>
      <c r="J19" s="48" t="n">
        <v>45000</v>
      </c>
      <c r="K19" s="31">
        <f>J19*H19</f>
        <v/>
      </c>
      <c r="L19" s="43" t="n">
        <v>8</v>
      </c>
      <c r="M19" s="43" t="n">
        <v>6</v>
      </c>
      <c r="N19" s="47" t="n">
        <v>0.06</v>
      </c>
      <c r="O19" s="43" t="n">
        <v>0</v>
      </c>
      <c r="P19" s="43" t="n">
        <v>8320</v>
      </c>
      <c r="Q19" s="41">
        <f>M19*P19*'S01_Disclaimer_Assumptions'!$B$8</f>
        <v/>
      </c>
      <c r="R19" s="8" t="inlineStr">
        <is>
          <t>Fleet management software license included; Wi-Fi infrastructure upgrade required</t>
        </is>
      </c>
      <c r="S19" s="55" t="inlineStr">
        <is>
          <t>PRG-001</t>
        </is>
      </c>
    </row>
    <row r="20">
      <c r="A20" s="56" t="inlineStr">
        <is>
          <t>PRG-001 TOTAL — Greenfield Expansion Phase II</t>
        </is>
      </c>
      <c r="B20" s="17" t="n"/>
      <c r="C20" s="17" t="n"/>
      <c r="D20" s="17" t="n"/>
      <c r="E20" s="17" t="n"/>
      <c r="F20" s="17" t="n"/>
      <c r="G20" s="17" t="n"/>
      <c r="H20" s="56">
        <f>SUM(H5:H19)</f>
        <v/>
      </c>
      <c r="I20" s="57">
        <f>SUM(I5:I19)</f>
        <v/>
      </c>
      <c r="J20" s="17" t="n"/>
      <c r="K20" s="57">
        <f>SUM(K5:K19)</f>
        <v/>
      </c>
      <c r="L20" s="17" t="n"/>
      <c r="M20" s="17" t="n"/>
      <c r="N20" s="17" t="n"/>
      <c r="O20" s="17" t="n"/>
      <c r="P20" s="17" t="n"/>
      <c r="Q20" s="57">
        <f>SUM(Q5:Q19)</f>
        <v/>
      </c>
      <c r="R20" s="17" t="n"/>
      <c r="S20" s="17" t="n"/>
    </row>
    <row r="22" ht="18" customHeight="1">
      <c r="A22" s="58" t="inlineStr">
        <is>
          <t>PRG-001 SUMMARY STATISTICS — Greenfield Expansion Phase II</t>
        </is>
      </c>
    </row>
    <row r="23">
      <c r="A23" s="6" t="inlineStr">
        <is>
          <t>Total Equipment Purchase Cost (USD)</t>
        </is>
      </c>
      <c r="B23" s="50">
        <f>I20</f>
        <v/>
      </c>
    </row>
    <row r="24">
      <c r="A24" s="6" t="inlineStr">
        <is>
          <t>Total Installation Cost (USD)</t>
        </is>
      </c>
      <c r="B24" s="50">
        <f>K20</f>
        <v/>
      </c>
    </row>
    <row r="25">
      <c r="A25" s="6" t="inlineStr">
        <is>
          <t>Total Portfolio CapEx (USD)</t>
        </is>
      </c>
      <c r="B25" s="50">
        <f>B23+B24</f>
        <v/>
      </c>
    </row>
    <row r="26">
      <c r="A26" s="6" t="inlineStr">
        <is>
          <t>Total Annual Energy Cost (USD)</t>
        </is>
      </c>
      <c r="B26" s="50">
        <f>Q20</f>
        <v/>
      </c>
    </row>
    <row r="27">
      <c r="A27" s="6" t="inlineStr">
        <is>
          <t>Number of Equipment Platforms</t>
        </is>
      </c>
      <c r="B27" s="49">
        <f>COUNTA(A5:A19)</f>
        <v/>
      </c>
    </row>
    <row r="28">
      <c r="A28" s="6" t="inlineStr">
        <is>
          <t>Total Equipment Units</t>
        </is>
      </c>
      <c r="B28" s="49">
        <f>H20</f>
        <v/>
      </c>
    </row>
    <row r="29">
      <c r="A29" s="6" t="inlineStr">
        <is>
          <t>Average Unit Cost (USD)</t>
        </is>
      </c>
      <c r="B29" s="50">
        <f>AVERAGE(G5:G19)</f>
        <v/>
      </c>
    </row>
    <row r="30">
      <c r="A30" s="6" t="inlineStr">
        <is>
          <t>Highest Unit Cost Item (USD)</t>
        </is>
      </c>
      <c r="B30" s="50">
        <f>MAX(G5:G19)</f>
        <v/>
      </c>
    </row>
    <row r="32" ht="18" customHeight="1">
      <c r="A32" s="58" t="inlineStr">
        <is>
          <t>PRG-002 EQUIPMENT — Riverside Automation Upgrade Phase I</t>
        </is>
      </c>
    </row>
    <row r="33" ht="30" customHeight="1">
      <c r="A33" s="54" t="inlineStr">
        <is>
          <t>Equip. ID</t>
        </is>
      </c>
      <c r="B33" s="54" t="inlineStr">
        <is>
          <t>Category</t>
        </is>
      </c>
      <c r="C33" s="54" t="inlineStr">
        <is>
          <t>Tool Type / Model</t>
        </is>
      </c>
      <c r="D33" s="54" t="inlineStr">
        <is>
          <t>Supplier</t>
        </is>
      </c>
      <c r="E33" s="54" t="inlineStr">
        <is>
          <t>Region</t>
        </is>
      </c>
      <c r="F33" s="54" t="inlineStr">
        <is>
          <t>Ccy</t>
        </is>
      </c>
      <c r="G33" s="54" t="inlineStr">
        <is>
          <t>Unit Cost (USD)</t>
        </is>
      </c>
      <c r="H33" s="54" t="inlineStr">
        <is>
          <t>Qty</t>
        </is>
      </c>
      <c r="I33" s="54" t="inlineStr">
        <is>
          <t>Total Equip. Cost (USD)</t>
        </is>
      </c>
      <c r="J33" s="54" t="inlineStr">
        <is>
          <t>Install Cost/Unit (USD)</t>
        </is>
      </c>
      <c r="K33" s="54" t="inlineStr">
        <is>
          <t>Install Total (USD)</t>
        </is>
      </c>
      <c r="L33" s="54" t="inlineStr">
        <is>
          <t>Life (yrs)</t>
        </is>
      </c>
      <c r="M33" s="54" t="inlineStr">
        <is>
          <t>Energy (kWh/hr)</t>
        </is>
      </c>
      <c r="N33" s="54" t="inlineStr">
        <is>
          <t>Annual Maint. Rate (%)</t>
        </is>
      </c>
      <c r="O33" s="54" t="inlineStr">
        <is>
          <t>Throughput (u/hr)</t>
        </is>
      </c>
      <c r="P33" s="54" t="inlineStr">
        <is>
          <t>Op Hrs/Yr</t>
        </is>
      </c>
      <c r="Q33" s="54" t="inlineStr">
        <is>
          <t>Annual Energy Cost (USD)</t>
        </is>
      </c>
      <c r="R33" s="54" t="inlineStr">
        <is>
          <t>Engineering Notes</t>
        </is>
      </c>
      <c r="S33" s="54" t="inlineStr">
        <is>
          <t>Program ID</t>
        </is>
      </c>
    </row>
    <row r="34">
      <c r="A34" s="43" t="inlineStr">
        <is>
          <t>RV-001</t>
        </is>
      </c>
      <c r="B34" s="43" t="inlineStr">
        <is>
          <t>Robotics / Automation</t>
        </is>
      </c>
      <c r="C34" s="43" t="inlineStr">
        <is>
          <t>Palletizing Robot – 6-Axis, 40kg payload</t>
        </is>
      </c>
      <c r="D34" s="43" t="inlineStr">
        <is>
          <t>Fanuc America</t>
        </is>
      </c>
      <c r="E34" s="43" t="inlineStr">
        <is>
          <t>USA</t>
        </is>
      </c>
      <c r="F34" s="43" t="inlineStr">
        <is>
          <t>USD</t>
        </is>
      </c>
      <c r="G34" s="48" t="n">
        <v>165000</v>
      </c>
      <c r="H34" s="43" t="n">
        <v>2</v>
      </c>
      <c r="I34" s="31">
        <f>G34*H34</f>
        <v/>
      </c>
      <c r="J34" s="48" t="n">
        <v>20000</v>
      </c>
      <c r="K34" s="31">
        <f>J34*H34</f>
        <v/>
      </c>
      <c r="L34" s="43" t="n">
        <v>10</v>
      </c>
      <c r="M34" s="43" t="n">
        <v>3.8</v>
      </c>
      <c r="N34" s="47" t="n">
        <v>0.05</v>
      </c>
      <c r="O34" s="43" t="n">
        <v>0</v>
      </c>
      <c r="P34" s="43" t="n">
        <v>6240</v>
      </c>
      <c r="Q34" s="41">
        <f>M34*P34*'S01_Disclaimer_Assumptions'!$B$8</f>
        <v/>
      </c>
      <c r="R34" s="8" t="inlineStr">
        <is>
          <t>Replaces manual end-of-line palletizing; guarding and safety scanner included in install</t>
        </is>
      </c>
      <c r="S34" s="55" t="inlineStr">
        <is>
          <t>PRG-002</t>
        </is>
      </c>
    </row>
    <row r="35">
      <c r="A35" s="43" t="inlineStr">
        <is>
          <t>RV-002</t>
        </is>
      </c>
      <c r="B35" s="43" t="inlineStr">
        <is>
          <t>Packaging Automation</t>
        </is>
      </c>
      <c r="C35" s="43" t="inlineStr">
        <is>
          <t>Case Packer / Cartoning System</t>
        </is>
      </c>
      <c r="D35" s="43" t="inlineStr">
        <is>
          <t>Krones AG</t>
        </is>
      </c>
      <c r="E35" s="43" t="inlineStr">
        <is>
          <t>DE</t>
        </is>
      </c>
      <c r="F35" s="43" t="inlineStr">
        <is>
          <t>EUR</t>
        </is>
      </c>
      <c r="G35" s="48" t="n">
        <v>410000</v>
      </c>
      <c r="H35" s="43" t="n">
        <v>1</v>
      </c>
      <c r="I35" s="31">
        <f>G35*H35</f>
        <v/>
      </c>
      <c r="J35" s="48" t="n">
        <v>55000</v>
      </c>
      <c r="K35" s="31">
        <f>J35*H35</f>
        <v/>
      </c>
      <c r="L35" s="43" t="n">
        <v>12</v>
      </c>
      <c r="M35" s="43" t="n">
        <v>14</v>
      </c>
      <c r="N35" s="47" t="n">
        <v>0.05</v>
      </c>
      <c r="O35" s="43" t="n">
        <v>0</v>
      </c>
      <c r="P35" s="43" t="n">
        <v>6240</v>
      </c>
      <c r="Q35" s="41">
        <f>M35*P35*'S01_Disclaimer_Assumptions'!$B$8</f>
        <v/>
      </c>
      <c r="R35" s="8" t="inlineStr">
        <is>
          <t>Single-source specialized cartoning technology; no qualified alt vendor identified</t>
        </is>
      </c>
      <c r="S35" s="55" t="inlineStr">
        <is>
          <t>PRG-002</t>
        </is>
      </c>
    </row>
    <row r="36">
      <c r="A36" s="43" t="inlineStr">
        <is>
          <t>RV-003</t>
        </is>
      </c>
      <c r="B36" s="43" t="inlineStr">
        <is>
          <t>Robotics / Automation</t>
        </is>
      </c>
      <c r="C36" s="43" t="inlineStr">
        <is>
          <t>AGV Fleet – Tow/Unit Load (×6)</t>
        </is>
      </c>
      <c r="D36" s="43" t="inlineStr">
        <is>
          <t>Fetch Robotics</t>
        </is>
      </c>
      <c r="E36" s="43" t="inlineStr">
        <is>
          <t>USA</t>
        </is>
      </c>
      <c r="F36" s="43" t="inlineStr">
        <is>
          <t>USD</t>
        </is>
      </c>
      <c r="G36" s="48" t="n">
        <v>85000</v>
      </c>
      <c r="H36" s="43" t="n">
        <v>6</v>
      </c>
      <c r="I36" s="31">
        <f>G36*H36</f>
        <v/>
      </c>
      <c r="J36" s="48" t="n">
        <v>8000</v>
      </c>
      <c r="K36" s="31">
        <f>J36*H36</f>
        <v/>
      </c>
      <c r="L36" s="43" t="n">
        <v>8</v>
      </c>
      <c r="M36" s="43" t="n">
        <v>1.1</v>
      </c>
      <c r="N36" s="47" t="n">
        <v>0.06</v>
      </c>
      <c r="O36" s="43" t="n">
        <v>0</v>
      </c>
      <c r="P36" s="43" t="n">
        <v>6240</v>
      </c>
      <c r="Q36" s="41">
        <f>M36*P36*'S01_Disclaimer_Assumptions'!$B$8</f>
        <v/>
      </c>
      <c r="R36" s="8" t="inlineStr">
        <is>
          <t>Fleet management software license included; warehouse Wi-Fi survey required pre-deployment</t>
        </is>
      </c>
      <c r="S36" s="55" t="inlineStr">
        <is>
          <t>PRG-002</t>
        </is>
      </c>
    </row>
    <row r="37">
      <c r="A37" s="43" t="inlineStr">
        <is>
          <t>RV-004</t>
        </is>
      </c>
      <c r="B37" s="43" t="inlineStr">
        <is>
          <t>Quality / Automation</t>
        </is>
      </c>
      <c r="C37" s="43" t="inlineStr">
        <is>
          <t>Vision Inspection System (×3)</t>
        </is>
      </c>
      <c r="D37" s="43" t="inlineStr">
        <is>
          <t>Cognex Corporation</t>
        </is>
      </c>
      <c r="E37" s="43" t="inlineStr">
        <is>
          <t>USA</t>
        </is>
      </c>
      <c r="F37" s="43" t="inlineStr">
        <is>
          <t>USD</t>
        </is>
      </c>
      <c r="G37" s="48" t="n">
        <v>62000</v>
      </c>
      <c r="H37" s="43" t="n">
        <v>3</v>
      </c>
      <c r="I37" s="31">
        <f>G37*H37</f>
        <v/>
      </c>
      <c r="J37" s="48" t="n">
        <v>6000</v>
      </c>
      <c r="K37" s="31">
        <f>J37*H37</f>
        <v/>
      </c>
      <c r="L37" s="43" t="n">
        <v>8</v>
      </c>
      <c r="M37" s="43" t="n">
        <v>0.6</v>
      </c>
      <c r="N37" s="47" t="n">
        <v>0.04</v>
      </c>
      <c r="O37" s="43" t="n">
        <v>0</v>
      </c>
      <c r="P37" s="43" t="n">
        <v>6240</v>
      </c>
      <c r="Q37" s="41">
        <f>M37*P37*'S01_Disclaimer_Assumptions'!$B$8</f>
        <v/>
      </c>
      <c r="R37" s="8" t="inlineStr">
        <is>
          <t>In-line case/label inspection; integrates with existing MES via OPC-UA</t>
        </is>
      </c>
      <c r="S37" s="55" t="inlineStr">
        <is>
          <t>PRG-002</t>
        </is>
      </c>
    </row>
    <row r="38">
      <c r="A38" s="43" t="inlineStr">
        <is>
          <t>RV-005</t>
        </is>
      </c>
      <c r="B38" s="43" t="inlineStr">
        <is>
          <t>PLC Control System</t>
        </is>
      </c>
      <c r="C38" s="43" t="inlineStr">
        <is>
          <t>Warehouse Control System Integration</t>
        </is>
      </c>
      <c r="D38" s="43" t="inlineStr">
        <is>
          <t>Rockwell Automation</t>
        </is>
      </c>
      <c r="E38" s="43" t="inlineStr">
        <is>
          <t>USA</t>
        </is>
      </c>
      <c r="F38" s="43" t="inlineStr">
        <is>
          <t>USD</t>
        </is>
      </c>
      <c r="G38" s="48" t="n">
        <v>145000</v>
      </c>
      <c r="H38" s="43" t="n">
        <v>1</v>
      </c>
      <c r="I38" s="31">
        <f>G38*H38</f>
        <v/>
      </c>
      <c r="J38" s="48" t="n">
        <v>25000</v>
      </c>
      <c r="K38" s="31">
        <f>J38*H38</f>
        <v/>
      </c>
      <c r="L38" s="43" t="n">
        <v>10</v>
      </c>
      <c r="M38" s="43" t="n">
        <v>1</v>
      </c>
      <c r="N38" s="47" t="n">
        <v>0.06</v>
      </c>
      <c r="O38" s="43" t="n">
        <v>0</v>
      </c>
      <c r="P38" s="43" t="n">
        <v>6240</v>
      </c>
      <c r="Q38" s="41">
        <f>M38*P38*'S01_Disclaimer_Assumptions'!$B$8</f>
        <v/>
      </c>
      <c r="R38" s="8" t="inlineStr">
        <is>
          <t>Integrates AGV fleet, conveyor, and WMS; software license + 1yr support included</t>
        </is>
      </c>
      <c r="S38" s="55" t="inlineStr">
        <is>
          <t>PRG-002</t>
        </is>
      </c>
    </row>
    <row r="39">
      <c r="A39" s="43" t="inlineStr">
        <is>
          <t>RV-006</t>
        </is>
      </c>
      <c r="B39" s="43" t="inlineStr">
        <is>
          <t>Material Handling</t>
        </is>
      </c>
      <c r="C39" s="43" t="inlineStr">
        <is>
          <t>Conveyor &amp; Sortation System</t>
        </is>
      </c>
      <c r="D39" s="43" t="inlineStr">
        <is>
          <t>Dematic Corp</t>
        </is>
      </c>
      <c r="E39" s="43" t="inlineStr">
        <is>
          <t>USA</t>
        </is>
      </c>
      <c r="F39" s="43" t="inlineStr">
        <is>
          <t>USD</t>
        </is>
      </c>
      <c r="G39" s="48" t="n">
        <v>520000</v>
      </c>
      <c r="H39" s="43" t="n">
        <v>1</v>
      </c>
      <c r="I39" s="31">
        <f>G39*H39</f>
        <v/>
      </c>
      <c r="J39" s="48" t="n">
        <v>95000</v>
      </c>
      <c r="K39" s="31">
        <f>J39*H39</f>
        <v/>
      </c>
      <c r="L39" s="43" t="n">
        <v>15</v>
      </c>
      <c r="M39" s="43" t="n">
        <v>26</v>
      </c>
      <c r="N39" s="47" t="n">
        <v>0.04</v>
      </c>
      <c r="O39" s="43" t="n">
        <v>0</v>
      </c>
      <c r="P39" s="43" t="n">
        <v>6240</v>
      </c>
      <c r="Q39" s="41">
        <f>M39*P39*'S01_Disclaimer_Assumptions'!$B$8</f>
        <v/>
      </c>
      <c r="R39" s="8" t="inlineStr">
        <is>
          <t>Longest lead item; civil floor anchoring required; phased cutover to avoid line downtime</t>
        </is>
      </c>
      <c r="S39" s="55" t="inlineStr">
        <is>
          <t>PRG-002</t>
        </is>
      </c>
    </row>
    <row r="40">
      <c r="A40" s="56" t="inlineStr">
        <is>
          <t>PRG-002 TOTAL — Riverside Automation Upgrade Phase I</t>
        </is>
      </c>
      <c r="B40" s="17" t="n"/>
      <c r="C40" s="17" t="n"/>
      <c r="D40" s="17" t="n"/>
      <c r="E40" s="17" t="n"/>
      <c r="F40" s="17" t="n"/>
      <c r="G40" s="17" t="n"/>
      <c r="H40" s="56">
        <f>SUM(H34:H39)</f>
        <v/>
      </c>
      <c r="I40" s="57">
        <f>SUM(I34:I39)</f>
        <v/>
      </c>
      <c r="J40" s="17" t="n"/>
      <c r="K40" s="57">
        <f>SUM(K34:K39)</f>
        <v/>
      </c>
      <c r="L40" s="17" t="n"/>
      <c r="M40" s="17" t="n"/>
      <c r="N40" s="17" t="n"/>
      <c r="O40" s="17" t="n"/>
      <c r="P40" s="17" t="n"/>
      <c r="Q40" s="57">
        <f>SUM(Q34:Q39)</f>
        <v/>
      </c>
      <c r="R40" s="17" t="n"/>
      <c r="S40" s="17" t="n"/>
    </row>
  </sheetData>
  <mergeCells count="4">
    <mergeCell ref="A32:S32"/>
    <mergeCell ref="A2:S2"/>
    <mergeCell ref="A22:B22"/>
    <mergeCell ref="A1:S1"/>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1:O45"/>
  <sheetViews>
    <sheetView workbookViewId="0">
      <pane ySplit="5" topLeftCell="A6" activePane="bottomLeft" state="frozen"/>
      <selection pane="bottomLeft" activeCell="A1" sqref="A1"/>
    </sheetView>
  </sheetViews>
  <sheetFormatPr baseColWidth="8" defaultRowHeight="15"/>
  <cols>
    <col width="26" customWidth="1" min="1" max="1"/>
    <col width="24" customWidth="1" min="2" max="2"/>
    <col width="10" customWidth="1" min="3" max="3"/>
    <col width="8" customWidth="1" min="4" max="4"/>
    <col width="6" customWidth="1" min="5" max="5"/>
    <col width="10" customWidth="1" min="6" max="6"/>
    <col width="11" customWidth="1" min="7" max="7"/>
    <col width="10" customWidth="1" min="8" max="8"/>
    <col width="12" customWidth="1" min="9" max="9"/>
    <col width="12" customWidth="1" min="10" max="10"/>
    <col width="12" customWidth="1" min="11" max="11"/>
    <col width="12" customWidth="1" min="12" max="12"/>
    <col width="11" customWidth="1" min="13" max="13"/>
    <col width="50" customWidth="1" min="14" max="14"/>
    <col width="12" customWidth="1" min="15" max="15"/>
  </cols>
  <sheetData>
    <row r="1" ht="26" customHeight="1">
      <c r="A1" s="53" t="inlineStr">
        <is>
          <t>S03 — Supplier &amp; Supply Chain Dataset — Advanced Manufacturing CapEx Program</t>
        </is>
      </c>
    </row>
    <row r="2" ht="15" customHeight="1">
      <c r="A2" s="2" t="inlineStr">
        <is>
          <t>Last Updated: 2025-Q3 | Owner: Supply Chain / Sourcing Team | Risk Score = (Current LT ÷ Standard LT) × (100 − Reliability Score)  |  Risk Tier: LOW &lt; 5 | MODERATE 5–15 | HIGH &gt; 15 | Program ID column enables portfolio-wide rollups</t>
        </is>
      </c>
    </row>
    <row r="4" ht="30" customHeight="1">
      <c r="A4" s="54" t="inlineStr">
        <is>
          <t>Supplier</t>
        </is>
      </c>
      <c r="B4" s="54" t="inlineStr">
        <is>
          <t>Component Type</t>
        </is>
      </c>
      <c r="C4" s="54" t="inlineStr">
        <is>
          <t>Equip. Ref</t>
        </is>
      </c>
      <c r="D4" s="54" t="inlineStr">
        <is>
          <t>Region</t>
        </is>
      </c>
      <c r="E4" s="54" t="inlineStr">
        <is>
          <t>Ccy</t>
        </is>
      </c>
      <c r="F4" s="54" t="inlineStr">
        <is>
          <t>Std LT (wks)</t>
        </is>
      </c>
      <c r="G4" s="54" t="inlineStr">
        <is>
          <t>Current LT (wks)</t>
        </is>
      </c>
      <c r="H4" s="54" t="inlineStr">
        <is>
          <t>LT Delta (wks)</t>
        </is>
      </c>
      <c r="I4" s="54" t="inlineStr">
        <is>
          <t>Reliability (0-100)</t>
        </is>
      </c>
      <c r="J4" s="54" t="inlineStr">
        <is>
          <t>Single Source Risk</t>
        </is>
      </c>
      <c r="K4" s="54" t="inlineStr">
        <is>
          <t>Alt Supplier Available</t>
        </is>
      </c>
      <c r="L4" s="54" t="inlineStr">
        <is>
          <t>Calc. Risk Score</t>
        </is>
      </c>
      <c r="M4" s="54" t="inlineStr">
        <is>
          <t>Risk Tier</t>
        </is>
      </c>
      <c r="N4" s="54" t="inlineStr">
        <is>
          <t>Engineering Notes</t>
        </is>
      </c>
      <c r="O4" s="54" t="inlineStr">
        <is>
          <t>Program ID</t>
        </is>
      </c>
    </row>
    <row r="5">
      <c r="A5" s="43" t="inlineStr">
        <is>
          <t>Edwards Vacuum</t>
        </is>
      </c>
      <c r="B5" s="43" t="inlineStr">
        <is>
          <t>Dry Screw Vacuum Pumps</t>
        </is>
      </c>
      <c r="C5" s="43" t="inlineStr">
        <is>
          <t>EQ-001</t>
        </is>
      </c>
      <c r="D5" s="43" t="inlineStr">
        <is>
          <t>UK</t>
        </is>
      </c>
      <c r="E5" s="43" t="inlineStr">
        <is>
          <t>EUR</t>
        </is>
      </c>
      <c r="F5" s="43" t="n">
        <v>14</v>
      </c>
      <c r="G5" s="43" t="n">
        <v>18</v>
      </c>
      <c r="H5" s="6">
        <f>G5-F5</f>
        <v/>
      </c>
      <c r="I5" s="43" t="n">
        <v>82</v>
      </c>
      <c r="J5" s="43" t="inlineStr">
        <is>
          <t>No</t>
        </is>
      </c>
      <c r="K5" s="43" t="inlineStr">
        <is>
          <t>Yes</t>
        </is>
      </c>
      <c r="L5" s="33">
        <f>ROUND((G5/F5)*(100-I5),2)</f>
        <v/>
      </c>
      <c r="M5" s="6">
        <f>IF(L5&gt;15,"HIGH",IF(L5&gt;=5,"MODERATE","LOW"))</f>
        <v/>
      </c>
      <c r="N5" s="8" t="inlineStr">
        <is>
          <t>Reliability impacted by post-Brexit logistics; alt vendor pre-qual in progress with Busch</t>
        </is>
      </c>
      <c r="O5" s="55" t="inlineStr">
        <is>
          <t>PRG-001</t>
        </is>
      </c>
    </row>
    <row r="6">
      <c r="A6" s="43" t="inlineStr">
        <is>
          <t>Pfeiffer Vacuum</t>
        </is>
      </c>
      <c r="B6" s="43" t="inlineStr">
        <is>
          <t>Turbomolecular Pumps</t>
        </is>
      </c>
      <c r="C6" s="43" t="inlineStr">
        <is>
          <t>EQ-002</t>
        </is>
      </c>
      <c r="D6" s="43" t="inlineStr">
        <is>
          <t>DE</t>
        </is>
      </c>
      <c r="E6" s="43" t="inlineStr">
        <is>
          <t>EUR</t>
        </is>
      </c>
      <c r="F6" s="43" t="n">
        <v>16</v>
      </c>
      <c r="G6" s="43" t="n">
        <v>26</v>
      </c>
      <c r="H6" s="6">
        <f>G6-F6</f>
        <v/>
      </c>
      <c r="I6" s="43" t="n">
        <v>88</v>
      </c>
      <c r="J6" s="43" t="inlineStr">
        <is>
          <t>Yes</t>
        </is>
      </c>
      <c r="K6" s="43" t="inlineStr">
        <is>
          <t>No</t>
        </is>
      </c>
      <c r="L6" s="33">
        <f>ROUND((G6/F6)*(100-I6),2)</f>
        <v/>
      </c>
      <c r="M6" s="6">
        <f>IF(L6&gt;15,"HIGH",IF(L6&gt;=5,"MODERATE","LOW"))</f>
        <v/>
      </c>
      <c r="N6" s="8" t="inlineStr">
        <is>
          <t>CRITICAL – single source; no qualified alternative; EQ-002 delivery risk HIGH; escalate to program director</t>
        </is>
      </c>
      <c r="O6" s="55" t="inlineStr">
        <is>
          <t>PRG-001</t>
        </is>
      </c>
    </row>
    <row r="7">
      <c r="A7" s="43" t="inlineStr">
        <is>
          <t>Thermco Systems</t>
        </is>
      </c>
      <c r="B7" s="43" t="inlineStr">
        <is>
          <t>High-Temp Tube Furnaces</t>
        </is>
      </c>
      <c r="C7" s="43" t="inlineStr">
        <is>
          <t>EQ-003</t>
        </is>
      </c>
      <c r="D7" s="43" t="inlineStr">
        <is>
          <t>USA</t>
        </is>
      </c>
      <c r="E7" s="43" t="inlineStr">
        <is>
          <t>USD</t>
        </is>
      </c>
      <c r="F7" s="43" t="n">
        <v>18</v>
      </c>
      <c r="G7" s="43" t="n">
        <v>20</v>
      </c>
      <c r="H7" s="6">
        <f>G7-F7</f>
        <v/>
      </c>
      <c r="I7" s="43" t="n">
        <v>91</v>
      </c>
      <c r="J7" s="43" t="inlineStr">
        <is>
          <t>No</t>
        </is>
      </c>
      <c r="K7" s="43" t="inlineStr">
        <is>
          <t>Yes</t>
        </is>
      </c>
      <c r="L7" s="33">
        <f>ROUND((G7/F7)*(100-I7),2)</f>
        <v/>
      </c>
      <c r="M7" s="6">
        <f>IF(L7&gt;15,"HIGH",IF(L7&gt;=5,"MODERATE","LOW"))</f>
        <v/>
      </c>
      <c r="N7" s="8" t="inlineStr">
        <is>
          <t>Preferred supplier; strong historical performance; alt supplier (BTU International) pre-qualified</t>
        </is>
      </c>
      <c r="O7" s="55" t="inlineStr">
        <is>
          <t>PRG-001</t>
        </is>
      </c>
    </row>
    <row r="8">
      <c r="A8" s="43" t="inlineStr">
        <is>
          <t>Tokyo Electron Ltd (TEL)</t>
        </is>
      </c>
      <c r="B8" s="43" t="inlineStr">
        <is>
          <t>Batch Oxidation Furnaces</t>
        </is>
      </c>
      <c r="C8" s="43" t="inlineStr">
        <is>
          <t>EQ-004</t>
        </is>
      </c>
      <c r="D8" s="43" t="inlineStr">
        <is>
          <t>JP</t>
        </is>
      </c>
      <c r="E8" s="43" t="inlineStr">
        <is>
          <t>JPY</t>
        </is>
      </c>
      <c r="F8" s="43" t="n">
        <v>20</v>
      </c>
      <c r="G8" s="43" t="n">
        <v>28</v>
      </c>
      <c r="H8" s="6">
        <f>G8-F8</f>
        <v/>
      </c>
      <c r="I8" s="43" t="n">
        <v>85</v>
      </c>
      <c r="J8" s="43" t="inlineStr">
        <is>
          <t>No</t>
        </is>
      </c>
      <c r="K8" s="43" t="inlineStr">
        <is>
          <t>Yes</t>
        </is>
      </c>
      <c r="L8" s="33">
        <f>ROUND((G8/F8)*(100-I8),2)</f>
        <v/>
      </c>
      <c r="M8" s="6">
        <f>IF(L8&gt;15,"HIGH",IF(L8&gt;=5,"MODERATE","LOW"))</f>
        <v/>
      </c>
      <c r="N8" s="8" t="inlineStr">
        <is>
          <t>JPY currency risk; FX hedge executed Q4-2024; alt: Kokusai Electric pre-qualified</t>
        </is>
      </c>
      <c r="O8" s="55" t="inlineStr">
        <is>
          <t>PRG-001</t>
        </is>
      </c>
    </row>
    <row r="9">
      <c r="A9" s="43" t="inlineStr">
        <is>
          <t>Brooks Automation</t>
        </is>
      </c>
      <c r="B9" s="43" t="inlineStr">
        <is>
          <t>Wafer Transfer Robots (SCARA)</t>
        </is>
      </c>
      <c r="C9" s="43" t="inlineStr">
        <is>
          <t>EQ-005</t>
        </is>
      </c>
      <c r="D9" s="43" t="inlineStr">
        <is>
          <t>USA</t>
        </is>
      </c>
      <c r="E9" s="43" t="inlineStr">
        <is>
          <t>USD</t>
        </is>
      </c>
      <c r="F9" s="43" t="n">
        <v>12</v>
      </c>
      <c r="G9" s="43" t="n">
        <v>14</v>
      </c>
      <c r="H9" s="6">
        <f>G9-F9</f>
        <v/>
      </c>
      <c r="I9" s="43" t="n">
        <v>90</v>
      </c>
      <c r="J9" s="43" t="inlineStr">
        <is>
          <t>No</t>
        </is>
      </c>
      <c r="K9" s="43" t="inlineStr">
        <is>
          <t>Yes</t>
        </is>
      </c>
      <c r="L9" s="33">
        <f>ROUND((G9/F9)*(100-I9),2)</f>
        <v/>
      </c>
      <c r="M9" s="6">
        <f>IF(L9&gt;15,"HIGH",IF(L9&gt;=5,"MODERATE","LOW"))</f>
        <v/>
      </c>
      <c r="N9" s="8" t="inlineStr">
        <is>
          <t>Software integration complexity is primary risk; not supply risk; support SLA confirmed</t>
        </is>
      </c>
      <c r="O9" s="55" t="inlineStr">
        <is>
          <t>PRG-001</t>
        </is>
      </c>
    </row>
    <row r="10">
      <c r="A10" s="43" t="inlineStr">
        <is>
          <t>Daifuku</t>
        </is>
      </c>
      <c r="B10" s="43" t="inlineStr">
        <is>
          <t>Overhead Conveyor Track System</t>
        </is>
      </c>
      <c r="C10" s="43" t="inlineStr">
        <is>
          <t>EQ-006</t>
        </is>
      </c>
      <c r="D10" s="43" t="inlineStr">
        <is>
          <t>JP</t>
        </is>
      </c>
      <c r="E10" s="43" t="inlineStr">
        <is>
          <t>JPY</t>
        </is>
      </c>
      <c r="F10" s="43" t="n">
        <v>22</v>
      </c>
      <c r="G10" s="43" t="n">
        <v>30</v>
      </c>
      <c r="H10" s="6">
        <f>G10-F10</f>
        <v/>
      </c>
      <c r="I10" s="43" t="n">
        <v>83</v>
      </c>
      <c r="J10" s="43" t="inlineStr">
        <is>
          <t>Yes</t>
        </is>
      </c>
      <c r="K10" s="43" t="inlineStr">
        <is>
          <t>No</t>
        </is>
      </c>
      <c r="L10" s="33">
        <f>ROUND((G10/F10)*(100-I10),2)</f>
        <v/>
      </c>
      <c r="M10" s="6">
        <f>IF(L10&gt;15,"HIGH",IF(L10&gt;=5,"MODERATE","LOW"))</f>
        <v/>
      </c>
      <c r="N10" s="8" t="inlineStr">
        <is>
          <t>Single source for overhead track design; civil interface drawings required 8 wks prior to FAT</t>
        </is>
      </c>
      <c r="O10" s="55" t="inlineStr">
        <is>
          <t>PRG-001</t>
        </is>
      </c>
    </row>
    <row r="11">
      <c r="A11" s="43" t="inlineStr">
        <is>
          <t>Air Liquide Engineering</t>
        </is>
      </c>
      <c r="B11" s="43" t="inlineStr">
        <is>
          <t>Process Gas Cabinets</t>
        </is>
      </c>
      <c r="C11" s="43" t="inlineStr">
        <is>
          <t>EQ-007</t>
        </is>
      </c>
      <c r="D11" s="43" t="inlineStr">
        <is>
          <t>FR</t>
        </is>
      </c>
      <c r="E11" s="43" t="inlineStr">
        <is>
          <t>EUR</t>
        </is>
      </c>
      <c r="F11" s="43" t="n">
        <v>16</v>
      </c>
      <c r="G11" s="43" t="n">
        <v>22</v>
      </c>
      <c r="H11" s="6">
        <f>G11-F11</f>
        <v/>
      </c>
      <c r="I11" s="43" t="n">
        <v>79</v>
      </c>
      <c r="J11" s="43" t="inlineStr">
        <is>
          <t>No</t>
        </is>
      </c>
      <c r="K11" s="43" t="inlineStr">
        <is>
          <t>Yes</t>
        </is>
      </c>
      <c r="L11" s="33">
        <f>ROUND((G11/F11)*(100-I11),2)</f>
        <v/>
      </c>
      <c r="M11" s="6">
        <f>IF(L11&gt;15,"HIGH",IF(L11&gt;=5,"MODERATE","LOW"))</f>
        <v/>
      </c>
      <c r="N11" s="8" t="inlineStr">
        <is>
          <t>Quote under negotiation; delivery risk moderate; Matheson Gas alt supplier evaluated</t>
        </is>
      </c>
      <c r="O11" s="55" t="inlineStr">
        <is>
          <t>PRG-001</t>
        </is>
      </c>
    </row>
    <row r="12">
      <c r="A12" s="43" t="inlineStr">
        <is>
          <t>Linde Engineering</t>
        </is>
      </c>
      <c r="B12" s="43" t="inlineStr">
        <is>
          <t>Bulk Gas Storage &amp; Delivery</t>
        </is>
      </c>
      <c r="C12" s="43" t="inlineStr">
        <is>
          <t>EQ-008</t>
        </is>
      </c>
      <c r="D12" s="43" t="inlineStr">
        <is>
          <t>DE</t>
        </is>
      </c>
      <c r="E12" s="43" t="inlineStr">
        <is>
          <t>EUR</t>
        </is>
      </c>
      <c r="F12" s="43" t="n">
        <v>24</v>
      </c>
      <c r="G12" s="43" t="n">
        <v>32</v>
      </c>
      <c r="H12" s="6">
        <f>G12-F12</f>
        <v/>
      </c>
      <c r="I12" s="43" t="n">
        <v>86</v>
      </c>
      <c r="J12" s="43" t="inlineStr">
        <is>
          <t>No</t>
        </is>
      </c>
      <c r="K12" s="43" t="inlineStr">
        <is>
          <t>Yes</t>
        </is>
      </c>
      <c r="L12" s="33">
        <f>ROUND((G12/F12)*(100-I12),2)</f>
        <v/>
      </c>
      <c r="M12" s="6">
        <f>IF(L12&gt;15,"HIGH",IF(L12&gt;=5,"MODERATE","LOW"))</f>
        <v/>
      </c>
      <c r="N12" s="8" t="inlineStr">
        <is>
          <t>Long procurement cycle; requires site permit coordination; 32-wk lead time confirmed by supplier</t>
        </is>
      </c>
      <c r="O12" s="55" t="inlineStr">
        <is>
          <t>PRG-001</t>
        </is>
      </c>
    </row>
    <row r="13">
      <c r="A13" s="43" t="inlineStr">
        <is>
          <t>Siemens AG</t>
        </is>
      </c>
      <c r="B13" s="43" t="inlineStr">
        <is>
          <t>Distributed Control Systems</t>
        </is>
      </c>
      <c r="C13" s="43" t="inlineStr">
        <is>
          <t>EQ-009</t>
        </is>
      </c>
      <c r="D13" s="43" t="inlineStr">
        <is>
          <t>DE</t>
        </is>
      </c>
      <c r="E13" s="43" t="inlineStr">
        <is>
          <t>EUR</t>
        </is>
      </c>
      <c r="F13" s="43" t="n">
        <v>10</v>
      </c>
      <c r="G13" s="43" t="n">
        <v>14</v>
      </c>
      <c r="H13" s="6">
        <f>G13-F13</f>
        <v/>
      </c>
      <c r="I13" s="43" t="n">
        <v>92</v>
      </c>
      <c r="J13" s="43" t="inlineStr">
        <is>
          <t>No</t>
        </is>
      </c>
      <c r="K13" s="43" t="inlineStr">
        <is>
          <t>Yes</t>
        </is>
      </c>
      <c r="L13" s="33">
        <f>ROUND((G13/F13)*(100-I13),2)</f>
        <v/>
      </c>
      <c r="M13" s="6">
        <f>IF(L13&gt;15,"HIGH",IF(L13&gt;=5,"MODERATE","LOW"))</f>
        <v/>
      </c>
      <c r="N13" s="8" t="inlineStr">
        <is>
          <t>Strong supply reliability; cybersecurity review adds 3-wk internal approval cycle</t>
        </is>
      </c>
      <c r="O13" s="55" t="inlineStr">
        <is>
          <t>PRG-001</t>
        </is>
      </c>
    </row>
    <row r="14">
      <c r="A14" s="43" t="inlineStr">
        <is>
          <t>Inductive Automation</t>
        </is>
      </c>
      <c r="B14" s="43" t="inlineStr">
        <is>
          <t>SCADA Platform Licenses</t>
        </is>
      </c>
      <c r="C14" s="43" t="inlineStr">
        <is>
          <t>EQ-010</t>
        </is>
      </c>
      <c r="D14" s="43" t="inlineStr">
        <is>
          <t>USA</t>
        </is>
      </c>
      <c r="E14" s="43" t="inlineStr">
        <is>
          <t>USD</t>
        </is>
      </c>
      <c r="F14" s="43" t="n">
        <v>4</v>
      </c>
      <c r="G14" s="43" t="n">
        <v>5</v>
      </c>
      <c r="H14" s="6">
        <f>G14-F14</f>
        <v/>
      </c>
      <c r="I14" s="43" t="n">
        <v>95</v>
      </c>
      <c r="J14" s="43" t="inlineStr">
        <is>
          <t>No</t>
        </is>
      </c>
      <c r="K14" s="43" t="inlineStr">
        <is>
          <t>Yes</t>
        </is>
      </c>
      <c r="L14" s="33">
        <f>ROUND((G14/F14)*(100-I14),2)</f>
        <v/>
      </c>
      <c r="M14" s="6">
        <f>IF(L14&gt;15,"HIGH",IF(L14&gt;=5,"MODERATE","LOW"))</f>
        <v/>
      </c>
      <c r="N14" s="8" t="inlineStr">
        <is>
          <t>Software license only; low supply risk; primary risk is IT/OT integration complexity</t>
        </is>
      </c>
      <c r="O14" s="55" t="inlineStr">
        <is>
          <t>PRG-001</t>
        </is>
      </c>
    </row>
    <row r="15">
      <c r="A15" s="43" t="inlineStr">
        <is>
          <t>ABB Ltd</t>
        </is>
      </c>
      <c r="B15" s="43" t="inlineStr">
        <is>
          <t>Dry-Type Transformers</t>
        </is>
      </c>
      <c r="C15" s="43" t="inlineStr">
        <is>
          <t>EQ-011</t>
        </is>
      </c>
      <c r="D15" s="43" t="inlineStr">
        <is>
          <t>CH</t>
        </is>
      </c>
      <c r="E15" s="43" t="inlineStr">
        <is>
          <t>USD</t>
        </is>
      </c>
      <c r="F15" s="43" t="n">
        <v>14</v>
      </c>
      <c r="G15" s="43" t="n">
        <v>20</v>
      </c>
      <c r="H15" s="6">
        <f>G15-F15</f>
        <v/>
      </c>
      <c r="I15" s="43" t="n">
        <v>87</v>
      </c>
      <c r="J15" s="43" t="inlineStr">
        <is>
          <t>No</t>
        </is>
      </c>
      <c r="K15" s="43" t="inlineStr">
        <is>
          <t>Yes</t>
        </is>
      </c>
      <c r="L15" s="33">
        <f>ROUND((G15/F15)*(100-I15),2)</f>
        <v/>
      </c>
      <c r="M15" s="6">
        <f>IF(L15&gt;15,"HIGH",IF(L15&gt;=5,"MODERATE","LOW"))</f>
        <v/>
      </c>
      <c r="N15" s="8" t="inlineStr">
        <is>
          <t>Component partially reused from prior program; new units on 20-wk market lead time</t>
        </is>
      </c>
      <c r="O15" s="55" t="inlineStr">
        <is>
          <t>PRG-001</t>
        </is>
      </c>
    </row>
    <row r="16">
      <c r="A16" s="43" t="inlineStr">
        <is>
          <t>Daikin Applied</t>
        </is>
      </c>
      <c r="B16" s="43" t="inlineStr">
        <is>
          <t>Process Chiller Systems</t>
        </is>
      </c>
      <c r="C16" s="43" t="inlineStr">
        <is>
          <t>EQ-012</t>
        </is>
      </c>
      <c r="D16" s="43" t="inlineStr">
        <is>
          <t>JP</t>
        </is>
      </c>
      <c r="E16" s="43" t="inlineStr">
        <is>
          <t>JPY</t>
        </is>
      </c>
      <c r="F16" s="43" t="n">
        <v>16</v>
      </c>
      <c r="G16" s="43" t="n">
        <v>20</v>
      </c>
      <c r="H16" s="6">
        <f>G16-F16</f>
        <v/>
      </c>
      <c r="I16" s="43" t="n">
        <v>89</v>
      </c>
      <c r="J16" s="43" t="inlineStr">
        <is>
          <t>No</t>
        </is>
      </c>
      <c r="K16" s="43" t="inlineStr">
        <is>
          <t>Yes</t>
        </is>
      </c>
      <c r="L16" s="33">
        <f>ROUND((G16/F16)*(100-I16),2)</f>
        <v/>
      </c>
      <c r="M16" s="6">
        <f>IF(L16&gt;15,"HIGH",IF(L16&gt;=5,"MODERATE","LOW"))</f>
        <v/>
      </c>
      <c r="N16" s="8" t="inlineStr">
        <is>
          <t>Glycol loop interface drawings required prior to FAT; JPY exposure monitored</t>
        </is>
      </c>
      <c r="O16" s="55" t="inlineStr">
        <is>
          <t>PRG-001</t>
        </is>
      </c>
    </row>
    <row r="17">
      <c r="A17" s="43" t="inlineStr">
        <is>
          <t>Busch Vacuum</t>
        </is>
      </c>
      <c r="B17" s="43" t="inlineStr">
        <is>
          <t>Roots Blower Boosters</t>
        </is>
      </c>
      <c r="C17" s="43" t="inlineStr">
        <is>
          <t>EQ-013</t>
        </is>
      </c>
      <c r="D17" s="43" t="inlineStr">
        <is>
          <t>DE</t>
        </is>
      </c>
      <c r="E17" s="43" t="inlineStr">
        <is>
          <t>EUR</t>
        </is>
      </c>
      <c r="F17" s="43" t="n">
        <v>12</v>
      </c>
      <c r="G17" s="43" t="n">
        <v>15</v>
      </c>
      <c r="H17" s="6">
        <f>G17-F17</f>
        <v/>
      </c>
      <c r="I17" s="43" t="n">
        <v>88</v>
      </c>
      <c r="J17" s="43" t="inlineStr">
        <is>
          <t>No</t>
        </is>
      </c>
      <c r="K17" s="43" t="inlineStr">
        <is>
          <t>Yes</t>
        </is>
      </c>
      <c r="L17" s="33">
        <f>ROUND((G17/F17)*(100-I17),2)</f>
        <v/>
      </c>
      <c r="M17" s="6">
        <f>IF(L17&gt;15,"HIGH",IF(L17&gt;=5,"MODERATE","LOW"))</f>
        <v/>
      </c>
      <c r="N17" s="8" t="inlineStr">
        <is>
          <t>Paired supply with Edwards EQ-001; coordinated delivery schedule required</t>
        </is>
      </c>
      <c r="O17" s="55" t="inlineStr">
        <is>
          <t>PRG-001</t>
        </is>
      </c>
    </row>
    <row r="18">
      <c r="A18" s="43" t="inlineStr">
        <is>
          <t>Applied Materials</t>
        </is>
      </c>
      <c r="B18" s="43" t="inlineStr">
        <is>
          <t>Rapid Thermal Processors (RTP)</t>
        </is>
      </c>
      <c r="C18" s="43" t="inlineStr">
        <is>
          <t>EQ-014</t>
        </is>
      </c>
      <c r="D18" s="43" t="inlineStr">
        <is>
          <t>USA</t>
        </is>
      </c>
      <c r="E18" s="43" t="inlineStr">
        <is>
          <t>USD</t>
        </is>
      </c>
      <c r="F18" s="43" t="n">
        <v>20</v>
      </c>
      <c r="G18" s="43" t="n">
        <v>24</v>
      </c>
      <c r="H18" s="6">
        <f>G18-F18</f>
        <v/>
      </c>
      <c r="I18" s="43" t="n">
        <v>90</v>
      </c>
      <c r="J18" s="43" t="inlineStr">
        <is>
          <t>No</t>
        </is>
      </c>
      <c r="K18" s="43" t="inlineStr">
        <is>
          <t>Yes</t>
        </is>
      </c>
      <c r="L18" s="33">
        <f>ROUND((G18/F18)*(100-I18),2)</f>
        <v/>
      </c>
      <c r="M18" s="6">
        <f>IF(L18&gt;15,"HIGH",IF(L18&gt;=5,"MODERATE","LOW"))</f>
        <v/>
      </c>
      <c r="N18" s="8" t="inlineStr">
        <is>
          <t>Highest value item; supplier requires 30% deposit at PO; finance pre-approval required</t>
        </is>
      </c>
      <c r="O18" s="55" t="inlineStr">
        <is>
          <t>PRG-001</t>
        </is>
      </c>
    </row>
    <row r="19">
      <c r="A19" s="43" t="inlineStr">
        <is>
          <t>Mobile Industrial Robots (MiR)</t>
        </is>
      </c>
      <c r="B19" s="43" t="inlineStr">
        <is>
          <t>AMR Fleet – 10 Units</t>
        </is>
      </c>
      <c r="C19" s="43" t="inlineStr">
        <is>
          <t>EQ-015</t>
        </is>
      </c>
      <c r="D19" s="43" t="inlineStr">
        <is>
          <t>DK</t>
        </is>
      </c>
      <c r="E19" s="43" t="inlineStr">
        <is>
          <t>EUR</t>
        </is>
      </c>
      <c r="F19" s="43" t="n">
        <v>14</v>
      </c>
      <c r="G19" s="43" t="n">
        <v>18</v>
      </c>
      <c r="H19" s="6">
        <f>G19-F19</f>
        <v/>
      </c>
      <c r="I19" s="43" t="n">
        <v>84</v>
      </c>
      <c r="J19" s="43" t="inlineStr">
        <is>
          <t>No</t>
        </is>
      </c>
      <c r="K19" s="43" t="inlineStr">
        <is>
          <t>Yes</t>
        </is>
      </c>
      <c r="L19" s="33">
        <f>ROUND((G19/F19)*(100-I19),2)</f>
        <v/>
      </c>
      <c r="M19" s="6">
        <f>IF(L19&gt;15,"HIGH",IF(L19&gt;=5,"MODERATE","LOW"))</f>
        <v/>
      </c>
      <c r="N19" s="8" t="inlineStr">
        <is>
          <t>Fleet SW license bundled; Wi-Fi site survey required 6 wks pre-installation</t>
        </is>
      </c>
      <c r="O19" s="55" t="inlineStr">
        <is>
          <t>PRG-001</t>
        </is>
      </c>
    </row>
    <row r="21" ht="18" customHeight="1">
      <c r="A21" s="58" t="inlineStr">
        <is>
          <t>PRG-001 SUPPLY CHAIN RISK SUMMARY — Greenfield Expansion Phase II</t>
        </is>
      </c>
    </row>
    <row r="22">
      <c r="A22" s="6" t="inlineStr">
        <is>
          <t>Avg Standard Lead Time (wks)</t>
        </is>
      </c>
      <c r="B22" s="51">
        <f>AVERAGE(F5:F19)</f>
        <v/>
      </c>
    </row>
    <row r="23">
      <c r="A23" s="6" t="inlineStr">
        <is>
          <t>Avg Current Lead Time (wks)</t>
        </is>
      </c>
      <c r="B23" s="51">
        <f>AVERAGE(G5:G19)</f>
        <v/>
      </c>
    </row>
    <row r="24">
      <c r="A24" s="6" t="inlineStr">
        <is>
          <t>Avg Lead Time Delta (wks)</t>
        </is>
      </c>
      <c r="B24" s="51">
        <f>AVERAGE(H5:H19)</f>
        <v/>
      </c>
    </row>
    <row r="25">
      <c r="A25" s="6" t="inlineStr">
        <is>
          <t>Avg Reliability Score (0-100)</t>
        </is>
      </c>
      <c r="B25" s="51">
        <f>AVERAGE(I5:I19)</f>
        <v/>
      </c>
    </row>
    <row r="26">
      <c r="A26" s="6" t="inlineStr">
        <is>
          <t>Avg Calculated Risk Score</t>
        </is>
      </c>
      <c r="B26" s="51">
        <f>AVERAGE(L5:L19)</f>
        <v/>
      </c>
    </row>
    <row r="27">
      <c r="A27" s="6" t="inlineStr">
        <is>
          <t>Max Risk Score (Worst Supplier)</t>
        </is>
      </c>
      <c r="B27" s="51">
        <f>MAX(L5:L19)</f>
        <v/>
      </c>
    </row>
    <row r="28">
      <c r="A28" s="6" t="inlineStr">
        <is>
          <t># Single-Source Components</t>
        </is>
      </c>
      <c r="B28" s="49">
        <f>COUNTIF(J5:J19,"Yes")</f>
        <v/>
      </c>
    </row>
    <row r="29">
      <c r="A29" s="6" t="inlineStr">
        <is>
          <t># Components with Alt Supplier</t>
        </is>
      </c>
      <c r="B29" s="49">
        <f>COUNTIF(K5:K19,"Yes")</f>
        <v/>
      </c>
    </row>
    <row r="30">
      <c r="A30" s="6" t="inlineStr">
        <is>
          <t># HIGH Risk Tier Suppliers</t>
        </is>
      </c>
      <c r="B30" s="49">
        <f>COUNTIF(M5:M19,"HIGH")</f>
        <v/>
      </c>
    </row>
    <row r="32" ht="18" customHeight="1">
      <c r="A32" s="58" t="inlineStr">
        <is>
          <t>PRG-002 SUPPLIERS — Riverside Automation Upgrade Phase I</t>
        </is>
      </c>
    </row>
    <row r="33" ht="30" customHeight="1">
      <c r="A33" s="54" t="inlineStr">
        <is>
          <t>Supplier</t>
        </is>
      </c>
      <c r="B33" s="54" t="inlineStr">
        <is>
          <t>Component Type</t>
        </is>
      </c>
      <c r="C33" s="54" t="inlineStr">
        <is>
          <t>Equip. Ref</t>
        </is>
      </c>
      <c r="D33" s="54" t="inlineStr">
        <is>
          <t>Region</t>
        </is>
      </c>
      <c r="E33" s="54" t="inlineStr">
        <is>
          <t>Ccy</t>
        </is>
      </c>
      <c r="F33" s="54" t="inlineStr">
        <is>
          <t>Std LT (wks)</t>
        </is>
      </c>
      <c r="G33" s="54" t="inlineStr">
        <is>
          <t>Current LT (wks)</t>
        </is>
      </c>
      <c r="H33" s="54" t="inlineStr">
        <is>
          <t>LT Delta (wks)</t>
        </is>
      </c>
      <c r="I33" s="54" t="inlineStr">
        <is>
          <t>Reliability (0-100)</t>
        </is>
      </c>
      <c r="J33" s="54" t="inlineStr">
        <is>
          <t>Single Source Risk</t>
        </is>
      </c>
      <c r="K33" s="54" t="inlineStr">
        <is>
          <t>Alt Supplier Available</t>
        </is>
      </c>
      <c r="L33" s="54" t="inlineStr">
        <is>
          <t>Calc. Risk Score</t>
        </is>
      </c>
      <c r="M33" s="54" t="inlineStr">
        <is>
          <t>Risk Tier</t>
        </is>
      </c>
      <c r="N33" s="54" t="inlineStr">
        <is>
          <t>Engineering Notes</t>
        </is>
      </c>
      <c r="O33" s="54" t="inlineStr">
        <is>
          <t>Program ID</t>
        </is>
      </c>
    </row>
    <row r="34">
      <c r="A34" s="43" t="inlineStr">
        <is>
          <t>Fanuc America</t>
        </is>
      </c>
      <c r="B34" s="43" t="inlineStr">
        <is>
          <t>Palletizing Robots</t>
        </is>
      </c>
      <c r="C34" s="43" t="inlineStr">
        <is>
          <t>RV-001</t>
        </is>
      </c>
      <c r="D34" s="43" t="inlineStr">
        <is>
          <t>USA</t>
        </is>
      </c>
      <c r="E34" s="43" t="inlineStr">
        <is>
          <t>USD</t>
        </is>
      </c>
      <c r="F34" s="43" t="n">
        <v>10</v>
      </c>
      <c r="G34" s="43" t="n">
        <v>12</v>
      </c>
      <c r="H34" s="6">
        <f>G34-F34</f>
        <v/>
      </c>
      <c r="I34" s="43" t="n">
        <v>91</v>
      </c>
      <c r="J34" s="43" t="inlineStr">
        <is>
          <t>No</t>
        </is>
      </c>
      <c r="K34" s="43" t="inlineStr">
        <is>
          <t>Yes</t>
        </is>
      </c>
      <c r="L34" s="33">
        <f>ROUND((G34/F34)*(100-I34),2)</f>
        <v/>
      </c>
      <c r="M34" s="6">
        <f>IF(L34&gt;15,"HIGH",IF(L34&gt;=5,"MODERATE","LOW"))</f>
        <v/>
      </c>
      <c r="N34" s="8" t="inlineStr">
        <is>
          <t>Deep bench of qualified integrators; low supply risk; standard robot platform</t>
        </is>
      </c>
      <c r="O34" s="55" t="inlineStr">
        <is>
          <t>PRG-002</t>
        </is>
      </c>
    </row>
    <row r="35">
      <c r="A35" s="43" t="inlineStr">
        <is>
          <t>Krones AG</t>
        </is>
      </c>
      <c r="B35" s="43" t="inlineStr">
        <is>
          <t>Case Packer / Cartoning Systems</t>
        </is>
      </c>
      <c r="C35" s="43" t="inlineStr">
        <is>
          <t>RV-002</t>
        </is>
      </c>
      <c r="D35" s="43" t="inlineStr">
        <is>
          <t>DE</t>
        </is>
      </c>
      <c r="E35" s="43" t="inlineStr">
        <is>
          <t>EUR</t>
        </is>
      </c>
      <c r="F35" s="43" t="n">
        <v>20</v>
      </c>
      <c r="G35" s="43" t="n">
        <v>24</v>
      </c>
      <c r="H35" s="6">
        <f>G35-F35</f>
        <v/>
      </c>
      <c r="I35" s="43" t="n">
        <v>86</v>
      </c>
      <c r="J35" s="43" t="inlineStr">
        <is>
          <t>Yes</t>
        </is>
      </c>
      <c r="K35" s="43" t="inlineStr">
        <is>
          <t>No</t>
        </is>
      </c>
      <c r="L35" s="33">
        <f>ROUND((G35/F35)*(100-I35),2)</f>
        <v/>
      </c>
      <c r="M35" s="6">
        <f>IF(L35&gt;15,"HIGH",IF(L35&gt;=5,"MODERATE","LOW"))</f>
        <v/>
      </c>
      <c r="N35" s="8" t="inlineStr">
        <is>
          <t>Single-source specialized cartoning technology; no qualified alternative identified</t>
        </is>
      </c>
      <c r="O35" s="55" t="inlineStr">
        <is>
          <t>PRG-002</t>
        </is>
      </c>
    </row>
    <row r="36">
      <c r="A36" s="43" t="inlineStr">
        <is>
          <t>Fetch Robotics</t>
        </is>
      </c>
      <c r="B36" s="43" t="inlineStr">
        <is>
          <t>AGV Fleet Units</t>
        </is>
      </c>
      <c r="C36" s="43" t="inlineStr">
        <is>
          <t>RV-003</t>
        </is>
      </c>
      <c r="D36" s="43" t="inlineStr">
        <is>
          <t>USA</t>
        </is>
      </c>
      <c r="E36" s="43" t="inlineStr">
        <is>
          <t>USD</t>
        </is>
      </c>
      <c r="F36" s="43" t="n">
        <v>8</v>
      </c>
      <c r="G36" s="43" t="n">
        <v>9</v>
      </c>
      <c r="H36" s="6">
        <f>G36-F36</f>
        <v/>
      </c>
      <c r="I36" s="43" t="n">
        <v>93</v>
      </c>
      <c r="J36" s="43" t="inlineStr">
        <is>
          <t>No</t>
        </is>
      </c>
      <c r="K36" s="43" t="inlineStr">
        <is>
          <t>Yes</t>
        </is>
      </c>
      <c r="L36" s="33">
        <f>ROUND((G36/F36)*(100-I36),2)</f>
        <v/>
      </c>
      <c r="M36" s="6">
        <f>IF(L36&gt;15,"HIGH",IF(L36&gt;=5,"MODERATE","LOW"))</f>
        <v/>
      </c>
      <c r="N36" s="8" t="inlineStr">
        <is>
          <t>Mature AGV platform; Locus Robotics evaluated as viable alternate</t>
        </is>
      </c>
      <c r="O36" s="55" t="inlineStr">
        <is>
          <t>PRG-002</t>
        </is>
      </c>
    </row>
    <row r="37">
      <c r="A37" s="43" t="inlineStr">
        <is>
          <t>Cognex Corporation</t>
        </is>
      </c>
      <c r="B37" s="43" t="inlineStr">
        <is>
          <t>Vision Inspection Systems</t>
        </is>
      </c>
      <c r="C37" s="43" t="inlineStr">
        <is>
          <t>RV-004</t>
        </is>
      </c>
      <c r="D37" s="43" t="inlineStr">
        <is>
          <t>USA</t>
        </is>
      </c>
      <c r="E37" s="43" t="inlineStr">
        <is>
          <t>USD</t>
        </is>
      </c>
      <c r="F37" s="43" t="n">
        <v>6</v>
      </c>
      <c r="G37" s="43" t="n">
        <v>7</v>
      </c>
      <c r="H37" s="6">
        <f>G37-F37</f>
        <v/>
      </c>
      <c r="I37" s="43" t="n">
        <v>95</v>
      </c>
      <c r="J37" s="43" t="inlineStr">
        <is>
          <t>No</t>
        </is>
      </c>
      <c r="K37" s="43" t="inlineStr">
        <is>
          <t>Yes</t>
        </is>
      </c>
      <c r="L37" s="33">
        <f>ROUND((G37/F37)*(100-I37),2)</f>
        <v/>
      </c>
      <c r="M37" s="6">
        <f>IF(L37&gt;15,"HIGH",IF(L37&gt;=5,"MODERATE","LOW"))</f>
        <v/>
      </c>
      <c r="N37" s="8" t="inlineStr">
        <is>
          <t>Commodity machine-vision hardware; Keyence pre-qualified as alternate</t>
        </is>
      </c>
      <c r="O37" s="55" t="inlineStr">
        <is>
          <t>PRG-002</t>
        </is>
      </c>
    </row>
    <row r="38">
      <c r="A38" s="43" t="inlineStr">
        <is>
          <t>Rockwell Automation</t>
        </is>
      </c>
      <c r="B38" s="43" t="inlineStr">
        <is>
          <t>Warehouse Control System</t>
        </is>
      </c>
      <c r="C38" s="43" t="inlineStr">
        <is>
          <t>RV-005</t>
        </is>
      </c>
      <c r="D38" s="43" t="inlineStr">
        <is>
          <t>USA</t>
        </is>
      </c>
      <c r="E38" s="43" t="inlineStr">
        <is>
          <t>USD</t>
        </is>
      </c>
      <c r="F38" s="43" t="n">
        <v>8</v>
      </c>
      <c r="G38" s="43" t="n">
        <v>9</v>
      </c>
      <c r="H38" s="6">
        <f>G38-F38</f>
        <v/>
      </c>
      <c r="I38" s="43" t="n">
        <v>94</v>
      </c>
      <c r="J38" s="43" t="inlineStr">
        <is>
          <t>No</t>
        </is>
      </c>
      <c r="K38" s="43" t="inlineStr">
        <is>
          <t>Yes</t>
        </is>
      </c>
      <c r="L38" s="33">
        <f>ROUND((G38/F38)*(100-I38),2)</f>
        <v/>
      </c>
      <c r="M38" s="6">
        <f>IF(L38&gt;15,"HIGH",IF(L38&gt;=5,"MODERATE","LOW"))</f>
        <v/>
      </c>
      <c r="N38" s="8" t="inlineStr">
        <is>
          <t>Strong integrator relationship; low supply risk; standard PlantPAx platform</t>
        </is>
      </c>
      <c r="O38" s="55" t="inlineStr">
        <is>
          <t>PRG-002</t>
        </is>
      </c>
    </row>
    <row r="39">
      <c r="A39" s="43" t="inlineStr">
        <is>
          <t>Dematic Corp</t>
        </is>
      </c>
      <c r="B39" s="43" t="inlineStr">
        <is>
          <t>Conveyor &amp; Sortation Systems</t>
        </is>
      </c>
      <c r="C39" s="43" t="inlineStr">
        <is>
          <t>RV-006</t>
        </is>
      </c>
      <c r="D39" s="43" t="inlineStr">
        <is>
          <t>USA</t>
        </is>
      </c>
      <c r="E39" s="43" t="inlineStr">
        <is>
          <t>USD</t>
        </is>
      </c>
      <c r="F39" s="43" t="n">
        <v>16</v>
      </c>
      <c r="G39" s="43" t="n">
        <v>20</v>
      </c>
      <c r="H39" s="6">
        <f>G39-F39</f>
        <v/>
      </c>
      <c r="I39" s="43" t="n">
        <v>88</v>
      </c>
      <c r="J39" s="43" t="inlineStr">
        <is>
          <t>No</t>
        </is>
      </c>
      <c r="K39" s="43" t="inlineStr">
        <is>
          <t>Yes</t>
        </is>
      </c>
      <c r="L39" s="33">
        <f>ROUND((G39/F39)*(100-I39),2)</f>
        <v/>
      </c>
      <c r="M39" s="6">
        <f>IF(L39&gt;15,"HIGH",IF(L39&gt;=5,"MODERATE","LOW"))</f>
        <v/>
      </c>
      <c r="N39" s="8" t="inlineStr">
        <is>
          <t>Complex site-specific integration; Honeywell Intelligrated evaluated as alternate</t>
        </is>
      </c>
      <c r="O39" s="55" t="inlineStr">
        <is>
          <t>PRG-002</t>
        </is>
      </c>
    </row>
    <row r="41" ht="18" customHeight="1">
      <c r="A41" s="58" t="inlineStr">
        <is>
          <t>PRG-002 SUPPLY CHAIN RISK SUMMARY — Riverside Automation Upgrade Phase I</t>
        </is>
      </c>
    </row>
    <row r="42">
      <c r="A42" s="6" t="inlineStr">
        <is>
          <t>Avg Calculated Risk Score</t>
        </is>
      </c>
      <c r="B42" s="51">
        <f>AVERAGE(L34:L39)</f>
        <v/>
      </c>
    </row>
    <row r="43">
      <c r="A43" s="6" t="inlineStr">
        <is>
          <t>Max Risk Score (Worst Supplier)</t>
        </is>
      </c>
      <c r="B43" s="51">
        <f>MAX(L34:L39)</f>
        <v/>
      </c>
    </row>
    <row r="44">
      <c r="A44" s="6" t="inlineStr">
        <is>
          <t># Single-Source Components</t>
        </is>
      </c>
      <c r="B44" s="49">
        <f>COUNTIF(J34:J39,"Yes")</f>
        <v/>
      </c>
    </row>
    <row r="45">
      <c r="A45" s="6" t="inlineStr">
        <is>
          <t># HIGH Risk Tier Suppliers</t>
        </is>
      </c>
      <c r="B45" s="49">
        <f>COUNTIF(M34:M39,"HIGH")</f>
        <v/>
      </c>
    </row>
  </sheetData>
  <mergeCells count="5">
    <mergeCell ref="A21:B21"/>
    <mergeCell ref="A2:O2"/>
    <mergeCell ref="A41:B41"/>
    <mergeCell ref="A1:O1"/>
    <mergeCell ref="A32:O32"/>
  </mergeCells>
  <pageMargins left="0.75" right="0.75" top="1" bottom="1" header="0.5" footer="0.5"/>
</worksheet>
</file>

<file path=xl/worksheets/sheet8.xml><?xml version="1.0" encoding="utf-8"?>
<worksheet xmlns="http://schemas.openxmlformats.org/spreadsheetml/2006/main">
  <sheetPr>
    <tabColor rgb="001F4E78"/>
    <outlinePr summaryBelow="1" summaryRight="1"/>
    <pageSetUpPr/>
  </sheetPr>
  <dimension ref="A1:N41"/>
  <sheetViews>
    <sheetView workbookViewId="0">
      <pane ySplit="5" topLeftCell="A6" activePane="bottomLeft" state="frozen"/>
      <selection pane="bottomLeft" activeCell="A1" sqref="A1"/>
    </sheetView>
  </sheetViews>
  <sheetFormatPr baseColWidth="8" defaultRowHeight="15"/>
  <cols>
    <col width="20" customWidth="1" min="1" max="1"/>
    <col width="34" customWidth="1" min="2" max="2"/>
    <col width="10" customWidth="1" min="3" max="3"/>
    <col width="12" customWidth="1" min="4" max="4"/>
    <col width="11" customWidth="1" min="5" max="5"/>
    <col width="9" customWidth="1" min="6" max="6"/>
    <col width="9" customWidth="1" min="7" max="7"/>
    <col width="11" customWidth="1" min="8" max="8"/>
    <col width="14" customWidth="1" min="9" max="9"/>
    <col width="11" customWidth="1" min="10" max="10"/>
    <col width="12" customWidth="1" min="11" max="11"/>
    <col width="12" customWidth="1" min="12" max="12"/>
    <col width="12" customWidth="1" min="13" max="13"/>
    <col width="46" customWidth="1" min="14" max="14"/>
  </cols>
  <sheetData>
    <row r="1" ht="26" customHeight="1">
      <c r="A1" s="53" t="inlineStr">
        <is>
          <t>S04 — First-Principles Should-Cost Model — Advanced Manufacturing Capital Equipment</t>
        </is>
      </c>
    </row>
    <row r="2" ht="15" customHeight="1">
      <c r="A2" s="2" t="inlineStr">
        <is>
          <t>Clean-sheet cost build-up per equipment category | All inputs in BLUE | Formulas in BLACK | Cross-sheet links in GREEN | Independent cost estimate used to challenge supplier quotes and identify cost reduction opportunities.</t>
        </is>
      </c>
    </row>
    <row r="4" ht="30" customHeight="1">
      <c r="A4" s="54" t="inlineStr">
        <is>
          <t>Equipment Category</t>
        </is>
      </c>
      <c r="B4" s="54" t="inlineStr">
        <is>
          <t>Cost Element</t>
        </is>
      </c>
      <c r="C4" s="54" t="inlineStr">
        <is>
          <t>Mat. Wt (kg)</t>
        </is>
      </c>
      <c r="D4" s="54" t="inlineStr">
        <is>
          <t>Mat. Price (USD/kg)</t>
        </is>
      </c>
      <c r="E4" s="54" t="inlineStr">
        <is>
          <t>Mat. Cost</t>
        </is>
      </c>
      <c r="F4" s="54" t="inlineStr">
        <is>
          <t>Labor Hrs</t>
        </is>
      </c>
      <c r="G4" s="54" t="inlineStr">
        <is>
          <t>Shop Rate</t>
        </is>
      </c>
      <c r="H4" s="54" t="inlineStr">
        <is>
          <t>Labor Cost</t>
        </is>
      </c>
      <c r="I4" s="54" t="inlineStr">
        <is>
          <t>Subcomp/Electronics</t>
        </is>
      </c>
      <c r="J4" s="54" t="inlineStr">
        <is>
          <t>Sub-Total</t>
        </is>
      </c>
      <c r="K4" s="54" t="inlineStr">
        <is>
          <t>Overhead (12%)</t>
        </is>
      </c>
      <c r="L4" s="54" t="inlineStr">
        <is>
          <t>Supplier Margin</t>
        </is>
      </c>
      <c r="M4" s="54" t="inlineStr">
        <is>
          <t>TOTAL Cost</t>
        </is>
      </c>
      <c r="N4" s="54" t="inlineStr">
        <is>
          <t>Notes</t>
        </is>
      </c>
    </row>
    <row r="5">
      <c r="A5" s="43" t="inlineStr">
        <is>
          <t>Vacuum Pump System</t>
        </is>
      </c>
      <c r="B5" s="43" t="inlineStr">
        <is>
          <t>Raw Material – Stainless Steel Body</t>
        </is>
      </c>
      <c r="C5" s="43" t="n">
        <v>280</v>
      </c>
      <c r="D5" s="52" t="n">
        <v>3.8</v>
      </c>
      <c r="E5" s="31">
        <f>C5*D5</f>
        <v/>
      </c>
      <c r="F5" s="43" t="n">
        <v>0</v>
      </c>
      <c r="G5" s="59" t="n">
        <v>0</v>
      </c>
      <c r="H5" s="31">
        <f>F5*G5</f>
        <v/>
      </c>
      <c r="I5" s="31" t="n">
        <v>0</v>
      </c>
      <c r="J5" s="31">
        <f>E5+H5+I5</f>
        <v/>
      </c>
      <c r="K5" s="31">
        <f>J5*0.12</f>
        <v/>
      </c>
      <c r="L5" s="41">
        <f>(J5+K5)*'S01_Disclaimer_Assumptions'!$B$38</f>
        <v/>
      </c>
      <c r="M5" s="31">
        <f>J5+K5+L5</f>
        <v/>
      </c>
      <c r="N5" s="8" t="inlineStr">
        <is>
          <t>Precision-cast SS housing; 304SS at market rate</t>
        </is>
      </c>
    </row>
    <row r="6">
      <c r="A6" s="43" t="inlineStr">
        <is>
          <t>Vacuum Pump System</t>
        </is>
      </c>
      <c r="B6" s="43" t="inlineStr">
        <is>
          <t>Machining &amp; Fabrication Labor</t>
        </is>
      </c>
      <c r="C6" s="43" t="n">
        <v>0</v>
      </c>
      <c r="D6" s="52" t="n">
        <v>0</v>
      </c>
      <c r="E6" s="31">
        <f>C6*D6</f>
        <v/>
      </c>
      <c r="F6" s="43" t="n">
        <v>95</v>
      </c>
      <c r="G6" s="60">
        <f>'S01_Disclaimer_Assumptions'!$B$23</f>
        <v/>
      </c>
      <c r="H6" s="31">
        <f>F6*G6</f>
        <v/>
      </c>
      <c r="I6" s="31" t="n">
        <v>0</v>
      </c>
      <c r="J6" s="31">
        <f>E6+H6+I6</f>
        <v/>
      </c>
      <c r="K6" s="31">
        <f>J6*0.12</f>
        <v/>
      </c>
      <c r="L6" s="41">
        <f>(J6+K6)*'S01_Disclaimer_Assumptions'!$B$38</f>
        <v/>
      </c>
      <c r="M6" s="31">
        <f>J6+K6+L6</f>
        <v/>
      </c>
      <c r="N6" s="8" t="inlineStr">
        <is>
          <t>CNC turning &amp; milling; pump body, rotor, stator components</t>
        </is>
      </c>
    </row>
    <row r="7">
      <c r="A7" s="43" t="inlineStr">
        <is>
          <t>Vacuum Pump System</t>
        </is>
      </c>
      <c r="B7" s="43" t="inlineStr">
        <is>
          <t>Purchased Subcomponents – Seals/Bearings</t>
        </is>
      </c>
      <c r="C7" s="43" t="n">
        <v>0</v>
      </c>
      <c r="D7" s="52" t="n">
        <v>0</v>
      </c>
      <c r="E7" s="31">
        <f>C7*D7</f>
        <v/>
      </c>
      <c r="F7" s="43" t="n">
        <v>0</v>
      </c>
      <c r="G7" s="59" t="n">
        <v>0</v>
      </c>
      <c r="H7" s="31">
        <f>F7*G7</f>
        <v/>
      </c>
      <c r="I7" s="48" t="n">
        <v>18500</v>
      </c>
      <c r="J7" s="31">
        <f>E7+H7+I7</f>
        <v/>
      </c>
      <c r="K7" s="31">
        <f>J7*0.12</f>
        <v/>
      </c>
      <c r="L7" s="41">
        <f>(J7+K7)*'S01_Disclaimer_Assumptions'!$B$38</f>
        <v/>
      </c>
      <c r="M7" s="31">
        <f>J7+K7+L7</f>
        <v/>
      </c>
      <c r="N7" s="8" t="inlineStr">
        <is>
          <t>Ceramic bearings, PTFE seals, shaft seals; sourced from FAG/SKF</t>
        </is>
      </c>
    </row>
    <row r="8">
      <c r="A8" s="43" t="inlineStr">
        <is>
          <t>Vacuum Pump System</t>
        </is>
      </c>
      <c r="B8" s="43" t="inlineStr">
        <is>
          <t>Electronics &amp; Motor Drive System</t>
        </is>
      </c>
      <c r="C8" s="43" t="n">
        <v>0</v>
      </c>
      <c r="D8" s="52" t="n">
        <v>0</v>
      </c>
      <c r="E8" s="31">
        <f>C8*D8</f>
        <v/>
      </c>
      <c r="F8" s="43" t="n">
        <v>0</v>
      </c>
      <c r="G8" s="59" t="n">
        <v>0</v>
      </c>
      <c r="H8" s="31">
        <f>F8*G8</f>
        <v/>
      </c>
      <c r="I8" s="48" t="n">
        <v>22000</v>
      </c>
      <c r="J8" s="31">
        <f>E8+H8+I8</f>
        <v/>
      </c>
      <c r="K8" s="31">
        <f>J8*0.12</f>
        <v/>
      </c>
      <c r="L8" s="41">
        <f>(J8+K8)*'S01_Disclaimer_Assumptions'!$B$38</f>
        <v/>
      </c>
      <c r="M8" s="31">
        <f>J8+K8+L8</f>
        <v/>
      </c>
      <c r="N8" s="8" t="inlineStr">
        <is>
          <t>VFD drive, PLC I/O cards, HMI touchscreen, wiring harness</t>
        </is>
      </c>
    </row>
    <row r="9">
      <c r="A9" s="43" t="inlineStr">
        <is>
          <t>Vacuum Pump System</t>
        </is>
      </c>
      <c r="B9" s="43" t="inlineStr">
        <is>
          <t>Assembly Labor</t>
        </is>
      </c>
      <c r="C9" s="43" t="n">
        <v>0</v>
      </c>
      <c r="D9" s="52" t="n">
        <v>0</v>
      </c>
      <c r="E9" s="31">
        <f>C9*D9</f>
        <v/>
      </c>
      <c r="F9" s="43" t="n">
        <v>32</v>
      </c>
      <c r="G9" s="60">
        <f>'S01_Disclaimer_Assumptions'!$B$23</f>
        <v/>
      </c>
      <c r="H9" s="31">
        <f>F9*G9</f>
        <v/>
      </c>
      <c r="I9" s="31" t="n">
        <v>0</v>
      </c>
      <c r="J9" s="31">
        <f>E9+H9+I9</f>
        <v/>
      </c>
      <c r="K9" s="31">
        <f>J9*0.12</f>
        <v/>
      </c>
      <c r="L9" s="41">
        <f>(J9+K9)*'S01_Disclaimer_Assumptions'!$B$38</f>
        <v/>
      </c>
      <c r="M9" s="31">
        <f>J9+K9+L9</f>
        <v/>
      </c>
      <c r="N9" s="8" t="inlineStr">
        <is>
          <t>Final assembly, alignment, internal leak test; 32 hrs per unit</t>
        </is>
      </c>
    </row>
    <row r="10">
      <c r="A10" s="43" t="inlineStr">
        <is>
          <t>Vacuum Pump System</t>
        </is>
      </c>
      <c r="B10" s="43" t="inlineStr">
        <is>
          <t>Quality / Acceptance Testing</t>
        </is>
      </c>
      <c r="C10" s="43" t="n">
        <v>0</v>
      </c>
      <c r="D10" s="52" t="n">
        <v>0</v>
      </c>
      <c r="E10" s="31">
        <f>C10*D10</f>
        <v/>
      </c>
      <c r="F10" s="43" t="n">
        <v>12</v>
      </c>
      <c r="G10" s="60">
        <f>'S01_Disclaimer_Assumptions'!$B$24</f>
        <v/>
      </c>
      <c r="H10" s="31">
        <f>F10*G10</f>
        <v/>
      </c>
      <c r="I10" s="31" t="n">
        <v>0</v>
      </c>
      <c r="J10" s="31">
        <f>E10+H10+I10</f>
        <v/>
      </c>
      <c r="K10" s="31">
        <f>J10*0.12</f>
        <v/>
      </c>
      <c r="L10" s="41">
        <f>(J10+K10)*'S01_Disclaimer_Assumptions'!$B$38</f>
        <v/>
      </c>
      <c r="M10" s="31">
        <f>J10+K10+L10</f>
        <v/>
      </c>
      <c r="N10" s="8" t="inlineStr">
        <is>
          <t>Performance characterization, helium leak test, ultimate pressure verification</t>
        </is>
      </c>
    </row>
    <row r="11">
      <c r="A11" s="43" t="inlineStr">
        <is>
          <t>High-Temp Furnace</t>
        </is>
      </c>
      <c r="B11" s="43" t="inlineStr">
        <is>
          <t>Raw Material – Inconel / Quartz / Refractory</t>
        </is>
      </c>
      <c r="C11" s="43" t="n">
        <v>420</v>
      </c>
      <c r="D11" s="52" t="n">
        <v>6.84</v>
      </c>
      <c r="E11" s="31">
        <f>C11*D11</f>
        <v/>
      </c>
      <c r="F11" s="43" t="n">
        <v>0</v>
      </c>
      <c r="G11" s="59" t="n">
        <v>0</v>
      </c>
      <c r="H11" s="31">
        <f>F11*G11</f>
        <v/>
      </c>
      <c r="I11" s="31" t="n">
        <v>0</v>
      </c>
      <c r="J11" s="31">
        <f>E11+H11+I11</f>
        <v/>
      </c>
      <c r="K11" s="31">
        <f>J11*0.12</f>
        <v/>
      </c>
      <c r="L11" s="41">
        <f>(J11+K11)*'S01_Disclaimer_Assumptions'!$B$38</f>
        <v/>
      </c>
      <c r="M11" s="31">
        <f>J11+K11+L11</f>
        <v/>
      </c>
      <c r="N11" s="8" t="inlineStr">
        <is>
          <t>Inconel 625 hot zone; quartz liner; ceramic refractory bricks</t>
        </is>
      </c>
    </row>
    <row r="12">
      <c r="A12" s="43" t="inlineStr">
        <is>
          <t>High-Temp Furnace</t>
        </is>
      </c>
      <c r="B12" s="43" t="inlineStr">
        <is>
          <t>Machining &amp; Fabrication Labor</t>
        </is>
      </c>
      <c r="C12" s="43" t="n">
        <v>0</v>
      </c>
      <c r="D12" s="52" t="n">
        <v>0</v>
      </c>
      <c r="E12" s="31">
        <f>C12*D12</f>
        <v/>
      </c>
      <c r="F12" s="43" t="n">
        <v>180</v>
      </c>
      <c r="G12" s="60">
        <f>'S01_Disclaimer_Assumptions'!$B$23</f>
        <v/>
      </c>
      <c r="H12" s="31">
        <f>F12*G12</f>
        <v/>
      </c>
      <c r="I12" s="31" t="n">
        <v>0</v>
      </c>
      <c r="J12" s="31">
        <f>E12+H12+I12</f>
        <v/>
      </c>
      <c r="K12" s="31">
        <f>J12*0.12</f>
        <v/>
      </c>
      <c r="L12" s="41">
        <f>(J12+K12)*'S01_Disclaimer_Assumptions'!$B$38</f>
        <v/>
      </c>
      <c r="M12" s="31">
        <f>J12+K12+L12</f>
        <v/>
      </c>
      <c r="N12" s="8" t="inlineStr">
        <is>
          <t>Welding, machining, tube bending; complex multi-zone fabrication</t>
        </is>
      </c>
    </row>
    <row r="13">
      <c r="A13" s="43" t="inlineStr">
        <is>
          <t>High-Temp Furnace</t>
        </is>
      </c>
      <c r="B13" s="43" t="inlineStr">
        <is>
          <t>Purchased Subcomponents – Heating Elements</t>
        </is>
      </c>
      <c r="C13" s="43" t="n">
        <v>0</v>
      </c>
      <c r="D13" s="52" t="n">
        <v>0</v>
      </c>
      <c r="E13" s="31">
        <f>C13*D13</f>
        <v/>
      </c>
      <c r="F13" s="43" t="n">
        <v>0</v>
      </c>
      <c r="G13" s="59" t="n">
        <v>0</v>
      </c>
      <c r="H13" s="31">
        <f>F13*G13</f>
        <v/>
      </c>
      <c r="I13" s="48" t="n">
        <v>45000</v>
      </c>
      <c r="J13" s="31">
        <f>E13+H13+I13</f>
        <v/>
      </c>
      <c r="K13" s="31">
        <f>J13*0.12</f>
        <v/>
      </c>
      <c r="L13" s="41">
        <f>(J13+K13)*'S01_Disclaimer_Assumptions'!$B$38</f>
        <v/>
      </c>
      <c r="M13" s="31">
        <f>J13+K13+L13</f>
        <v/>
      </c>
      <c r="N13" s="8" t="inlineStr">
        <is>
          <t>SiC heating elements, 8-zone; Kanthal A1 backup; sourced from Kanthal</t>
        </is>
      </c>
    </row>
    <row r="14">
      <c r="A14" s="43" t="inlineStr">
        <is>
          <t>High-Temp Furnace</t>
        </is>
      </c>
      <c r="B14" s="43" t="inlineStr">
        <is>
          <t>Electronics &amp; Control Systems</t>
        </is>
      </c>
      <c r="C14" s="43" t="n">
        <v>0</v>
      </c>
      <c r="D14" s="52" t="n">
        <v>0</v>
      </c>
      <c r="E14" s="31">
        <f>C14*D14</f>
        <v/>
      </c>
      <c r="F14" s="43" t="n">
        <v>0</v>
      </c>
      <c r="G14" s="59" t="n">
        <v>0</v>
      </c>
      <c r="H14" s="31">
        <f>F14*G14</f>
        <v/>
      </c>
      <c r="I14" s="48" t="n">
        <v>38000</v>
      </c>
      <c r="J14" s="31">
        <f>E14+H14+I14</f>
        <v/>
      </c>
      <c r="K14" s="31">
        <f>J14*0.12</f>
        <v/>
      </c>
      <c r="L14" s="41">
        <f>(J14+K14)*'S01_Disclaimer_Assumptions'!$B$38</f>
        <v/>
      </c>
      <c r="M14" s="31">
        <f>J14+K14+L14</f>
        <v/>
      </c>
      <c r="N14" s="8" t="inlineStr">
        <is>
          <t>Multi-zone PID controllers, SCR power units, thermocouple arrays</t>
        </is>
      </c>
    </row>
    <row r="15">
      <c r="A15" s="43" t="inlineStr">
        <is>
          <t>High-Temp Furnace</t>
        </is>
      </c>
      <c r="B15" s="43" t="inlineStr">
        <is>
          <t>Assembly Labor</t>
        </is>
      </c>
      <c r="C15" s="43" t="n">
        <v>0</v>
      </c>
      <c r="D15" s="52" t="n">
        <v>0</v>
      </c>
      <c r="E15" s="31">
        <f>C15*D15</f>
        <v/>
      </c>
      <c r="F15" s="43" t="n">
        <v>65</v>
      </c>
      <c r="G15" s="60">
        <f>'S01_Disclaimer_Assumptions'!$B$23</f>
        <v/>
      </c>
      <c r="H15" s="31">
        <f>F15*G15</f>
        <v/>
      </c>
      <c r="I15" s="31" t="n">
        <v>0</v>
      </c>
      <c r="J15" s="31">
        <f>E15+H15+I15</f>
        <v/>
      </c>
      <c r="K15" s="31">
        <f>J15*0.12</f>
        <v/>
      </c>
      <c r="L15" s="41">
        <f>(J15+K15)*'S01_Disclaimer_Assumptions'!$B$38</f>
        <v/>
      </c>
      <c r="M15" s="31">
        <f>J15+K15+L15</f>
        <v/>
      </c>
      <c r="N15" s="8" t="inlineStr">
        <is>
          <t>Zone assembly, insulation packing, wiring, pre-commissioning</t>
        </is>
      </c>
    </row>
    <row r="16">
      <c r="A16" s="43" t="inlineStr">
        <is>
          <t>High-Temp Furnace</t>
        </is>
      </c>
      <c r="B16" s="43" t="inlineStr">
        <is>
          <t>Quality / Acceptance Testing</t>
        </is>
      </c>
      <c r="C16" s="43" t="n">
        <v>0</v>
      </c>
      <c r="D16" s="52" t="n">
        <v>0</v>
      </c>
      <c r="E16" s="31">
        <f>C16*D16</f>
        <v/>
      </c>
      <c r="F16" s="43" t="n">
        <v>20</v>
      </c>
      <c r="G16" s="60">
        <f>'S01_Disclaimer_Assumptions'!$B$24</f>
        <v/>
      </c>
      <c r="H16" s="31">
        <f>F16*G16</f>
        <v/>
      </c>
      <c r="I16" s="31" t="n">
        <v>0</v>
      </c>
      <c r="J16" s="31">
        <f>E16+H16+I16</f>
        <v/>
      </c>
      <c r="K16" s="31">
        <f>J16*0.12</f>
        <v/>
      </c>
      <c r="L16" s="41">
        <f>(J16+K16)*'S01_Disclaimer_Assumptions'!$B$38</f>
        <v/>
      </c>
      <c r="M16" s="31">
        <f>J16+K16+L16</f>
        <v/>
      </c>
      <c r="N16" s="8" t="inlineStr">
        <is>
          <t>Temperature uniformity survey (9-point), ramp rate validation, atmosphere leak test</t>
        </is>
      </c>
    </row>
    <row r="17">
      <c r="A17" s="43" t="inlineStr">
        <is>
          <t>Robotics / Automation</t>
        </is>
      </c>
      <c r="B17" s="43" t="inlineStr">
        <is>
          <t>Raw Material – Aluminum Frame &amp; Structure</t>
        </is>
      </c>
      <c r="C17" s="43" t="n">
        <v>85</v>
      </c>
      <c r="D17" s="52" t="n">
        <v>4.2</v>
      </c>
      <c r="E17" s="31">
        <f>C17*D17</f>
        <v/>
      </c>
      <c r="F17" s="43" t="n">
        <v>0</v>
      </c>
      <c r="G17" s="59" t="n">
        <v>0</v>
      </c>
      <c r="H17" s="31">
        <f>F17*G17</f>
        <v/>
      </c>
      <c r="I17" s="31" t="n">
        <v>0</v>
      </c>
      <c r="J17" s="31">
        <f>E17+H17+I17</f>
        <v/>
      </c>
      <c r="K17" s="31">
        <f>J17*0.12</f>
        <v/>
      </c>
      <c r="L17" s="41">
        <f>(J17+K17)*'S01_Disclaimer_Assumptions'!$B$38</f>
        <v/>
      </c>
      <c r="M17" s="31">
        <f>J17+K17+L17</f>
        <v/>
      </c>
      <c r="N17" s="8" t="inlineStr">
        <is>
          <t>6061 AL structural extrusions, machined joints, end-effector blanks</t>
        </is>
      </c>
    </row>
    <row r="18">
      <c r="A18" s="43" t="inlineStr">
        <is>
          <t>Robotics / Automation</t>
        </is>
      </c>
      <c r="B18" s="43" t="inlineStr">
        <is>
          <t>Machining &amp; Fabrication Labor</t>
        </is>
      </c>
      <c r="C18" s="43" t="n">
        <v>0</v>
      </c>
      <c r="D18" s="52" t="n">
        <v>0</v>
      </c>
      <c r="E18" s="31">
        <f>C18*D18</f>
        <v/>
      </c>
      <c r="F18" s="43" t="n">
        <v>40</v>
      </c>
      <c r="G18" s="60">
        <f>'S01_Disclaimer_Assumptions'!$B$23</f>
        <v/>
      </c>
      <c r="H18" s="31">
        <f>F18*G18</f>
        <v/>
      </c>
      <c r="I18" s="31" t="n">
        <v>0</v>
      </c>
      <c r="J18" s="31">
        <f>E18+H18+I18</f>
        <v/>
      </c>
      <c r="K18" s="31">
        <f>J18*0.12</f>
        <v/>
      </c>
      <c r="L18" s="41">
        <f>(J18+K18)*'S01_Disclaimer_Assumptions'!$B$38</f>
        <v/>
      </c>
      <c r="M18" s="31">
        <f>J18+K18+L18</f>
        <v/>
      </c>
      <c r="N18" s="8" t="inlineStr">
        <is>
          <t>CNC machining of end-effectors, links, flanges; anodizing finish</t>
        </is>
      </c>
    </row>
    <row r="19">
      <c r="A19" s="43" t="inlineStr">
        <is>
          <t>Robotics / Automation</t>
        </is>
      </c>
      <c r="B19" s="43" t="inlineStr">
        <is>
          <t>Purchased Subcomponents – Servo / Drive Train</t>
        </is>
      </c>
      <c r="C19" s="43" t="n">
        <v>0</v>
      </c>
      <c r="D19" s="52" t="n">
        <v>0</v>
      </c>
      <c r="E19" s="31">
        <f>C19*D19</f>
        <v/>
      </c>
      <c r="F19" s="43" t="n">
        <v>0</v>
      </c>
      <c r="G19" s="59" t="n">
        <v>0</v>
      </c>
      <c r="H19" s="31">
        <f>F19*G19</f>
        <v/>
      </c>
      <c r="I19" s="48" t="n">
        <v>52000</v>
      </c>
      <c r="J19" s="31">
        <f>E19+H19+I19</f>
        <v/>
      </c>
      <c r="K19" s="31">
        <f>J19*0.12</f>
        <v/>
      </c>
      <c r="L19" s="41">
        <f>(J19+K19)*'S01_Disclaimer_Assumptions'!$B$38</f>
        <v/>
      </c>
      <c r="M19" s="31">
        <f>J19+K19+L19</f>
        <v/>
      </c>
      <c r="N19" s="8" t="inlineStr">
        <is>
          <t>Harmonic drive reducers, servo motors, encoders; Yaskawa / Nabtesco</t>
        </is>
      </c>
    </row>
    <row r="20">
      <c r="A20" s="43" t="inlineStr">
        <is>
          <t>Robotics / Automation</t>
        </is>
      </c>
      <c r="B20" s="43" t="inlineStr">
        <is>
          <t>Electronics &amp; Vision System</t>
        </is>
      </c>
      <c r="C20" s="43" t="n">
        <v>0</v>
      </c>
      <c r="D20" s="52" t="n">
        <v>0</v>
      </c>
      <c r="E20" s="31">
        <f>C20*D20</f>
        <v/>
      </c>
      <c r="F20" s="43" t="n">
        <v>0</v>
      </c>
      <c r="G20" s="59" t="n">
        <v>0</v>
      </c>
      <c r="H20" s="31">
        <f>F20*G20</f>
        <v/>
      </c>
      <c r="I20" s="48" t="n">
        <v>28000</v>
      </c>
      <c r="J20" s="31">
        <f>E20+H20+I20</f>
        <v/>
      </c>
      <c r="K20" s="31">
        <f>J20*0.12</f>
        <v/>
      </c>
      <c r="L20" s="41">
        <f>(J20+K20)*'S01_Disclaimer_Assumptions'!$B$38</f>
        <v/>
      </c>
      <c r="M20" s="31">
        <f>J20+K20+L20</f>
        <v/>
      </c>
      <c r="N20" s="8" t="inlineStr">
        <is>
          <t>Robot controller, teach pendant, vision camera + lighting, safety scanner</t>
        </is>
      </c>
    </row>
    <row r="21">
      <c r="A21" s="43" t="inlineStr">
        <is>
          <t>Robotics / Automation</t>
        </is>
      </c>
      <c r="B21" s="43" t="inlineStr">
        <is>
          <t>Software &amp; Integration</t>
        </is>
      </c>
      <c r="C21" s="43" t="n">
        <v>0</v>
      </c>
      <c r="D21" s="52" t="n">
        <v>0</v>
      </c>
      <c r="E21" s="31">
        <f>C21*D21</f>
        <v/>
      </c>
      <c r="F21" s="43" t="n">
        <v>35</v>
      </c>
      <c r="G21" s="60">
        <f>'S01_Disclaimer_Assumptions'!$B$24</f>
        <v/>
      </c>
      <c r="H21" s="31">
        <f>F21*G21</f>
        <v/>
      </c>
      <c r="I21" s="31" t="n">
        <v>0</v>
      </c>
      <c r="J21" s="31">
        <f>E21+H21+I21</f>
        <v/>
      </c>
      <c r="K21" s="31">
        <f>J21*0.12</f>
        <v/>
      </c>
      <c r="L21" s="41">
        <f>(J21+K21)*'S01_Disclaimer_Assumptions'!$B$38</f>
        <v/>
      </c>
      <c r="M21" s="31">
        <f>J21+K21+L21</f>
        <v/>
      </c>
      <c r="N21" s="8" t="inlineStr">
        <is>
          <t>MES/SEMI interface SW development, recipe upload, FAT validation scripts</t>
        </is>
      </c>
    </row>
    <row r="22">
      <c r="A22" s="43" t="inlineStr">
        <is>
          <t>Robotics / Automation</t>
        </is>
      </c>
      <c r="B22" s="43" t="inlineStr">
        <is>
          <t>Quality / Acceptance Testing</t>
        </is>
      </c>
      <c r="C22" s="43" t="n">
        <v>0</v>
      </c>
      <c r="D22" s="52" t="n">
        <v>0</v>
      </c>
      <c r="E22" s="31">
        <f>C22*D22</f>
        <v/>
      </c>
      <c r="F22" s="43" t="n">
        <v>10</v>
      </c>
      <c r="G22" s="60">
        <f>'S01_Disclaimer_Assumptions'!$B$24</f>
        <v/>
      </c>
      <c r="H22" s="31">
        <f>F22*G22</f>
        <v/>
      </c>
      <c r="I22" s="31" t="n">
        <v>0</v>
      </c>
      <c r="J22" s="31">
        <f>E22+H22+I22</f>
        <v/>
      </c>
      <c r="K22" s="31">
        <f>J22*0.12</f>
        <v/>
      </c>
      <c r="L22" s="41">
        <f>(J22+K22)*'S01_Disclaimer_Assumptions'!$B$38</f>
        <v/>
      </c>
      <c r="M22" s="31">
        <f>J22+K22+L22</f>
        <v/>
      </c>
      <c r="N22" s="8" t="inlineStr">
        <is>
          <t>Path accuracy, repeatability ±0.05mm, cycle time validation, safety relay test</t>
        </is>
      </c>
    </row>
    <row r="23">
      <c r="A23" s="43" t="inlineStr">
        <is>
          <t>Gas Handling System</t>
        </is>
      </c>
      <c r="B23" s="43" t="inlineStr">
        <is>
          <t>Raw Material – 316L SS Tubing &amp; Fittings</t>
        </is>
      </c>
      <c r="C23" s="43" t="n">
        <v>60</v>
      </c>
      <c r="D23" s="52" t="n">
        <v>4.56</v>
      </c>
      <c r="E23" s="31">
        <f>C23*D23</f>
        <v/>
      </c>
      <c r="F23" s="43" t="n">
        <v>0</v>
      </c>
      <c r="G23" s="59" t="n">
        <v>0</v>
      </c>
      <c r="H23" s="31">
        <f>F23*G23</f>
        <v/>
      </c>
      <c r="I23" s="31" t="n">
        <v>0</v>
      </c>
      <c r="J23" s="31">
        <f>E23+H23+I23</f>
        <v/>
      </c>
      <c r="K23" s="31">
        <f>J23*0.12</f>
        <v/>
      </c>
      <c r="L23" s="41">
        <f>(J23+K23)*'S01_Disclaimer_Assumptions'!$B$38</f>
        <v/>
      </c>
      <c r="M23" s="31">
        <f>J23+K23+L23</f>
        <v/>
      </c>
      <c r="N23" s="8" t="inlineStr">
        <is>
          <t>316L EP-grade tubing, VCR fittings, valves; electropolished internal surfaces</t>
        </is>
      </c>
    </row>
    <row r="24">
      <c r="A24" s="43" t="inlineStr">
        <is>
          <t>Gas Handling System</t>
        </is>
      </c>
      <c r="B24" s="43" t="inlineStr">
        <is>
          <t>Machining &amp; Fabrication Labor</t>
        </is>
      </c>
      <c r="C24" s="43" t="n">
        <v>0</v>
      </c>
      <c r="D24" s="52" t="n">
        <v>0</v>
      </c>
      <c r="E24" s="31">
        <f>C24*D24</f>
        <v/>
      </c>
      <c r="F24" s="43" t="n">
        <v>55</v>
      </c>
      <c r="G24" s="60">
        <f>'S01_Disclaimer_Assumptions'!$B$23</f>
        <v/>
      </c>
      <c r="H24" s="31">
        <f>F24*G24</f>
        <v/>
      </c>
      <c r="I24" s="31" t="n">
        <v>0</v>
      </c>
      <c r="J24" s="31">
        <f>E24+H24+I24</f>
        <v/>
      </c>
      <c r="K24" s="31">
        <f>J24*0.12</f>
        <v/>
      </c>
      <c r="L24" s="41">
        <f>(J24+K24)*'S01_Disclaimer_Assumptions'!$B$38</f>
        <v/>
      </c>
      <c r="M24" s="31">
        <f>J24+K24+L24</f>
        <v/>
      </c>
      <c r="N24" s="8" t="inlineStr">
        <is>
          <t>Tube bending, orbital welding, manifold assembly; cleanroom fabrication</t>
        </is>
      </c>
    </row>
    <row r="25">
      <c r="A25" s="43" t="inlineStr">
        <is>
          <t>Gas Handling System</t>
        </is>
      </c>
      <c r="B25" s="43" t="inlineStr">
        <is>
          <t>Purchased Subcomponents – Valves &amp; Regulators</t>
        </is>
      </c>
      <c r="C25" s="43" t="n">
        <v>0</v>
      </c>
      <c r="D25" s="52" t="n">
        <v>0</v>
      </c>
      <c r="E25" s="31">
        <f>C25*D25</f>
        <v/>
      </c>
      <c r="F25" s="43" t="n">
        <v>0</v>
      </c>
      <c r="G25" s="59" t="n">
        <v>0</v>
      </c>
      <c r="H25" s="31">
        <f>F25*G25</f>
        <v/>
      </c>
      <c r="I25" s="48" t="n">
        <v>32000</v>
      </c>
      <c r="J25" s="31">
        <f>E25+H25+I25</f>
        <v/>
      </c>
      <c r="K25" s="31">
        <f>J25*0.12</f>
        <v/>
      </c>
      <c r="L25" s="41">
        <f>(J25+K25)*'S01_Disclaimer_Assumptions'!$B$38</f>
        <v/>
      </c>
      <c r="M25" s="31">
        <f>J25+K25+L25</f>
        <v/>
      </c>
      <c r="N25" s="8" t="inlineStr">
        <is>
          <t>Swagelok/Parker pneumatic valves, MFCs, pressure regulators, check valves</t>
        </is>
      </c>
    </row>
    <row r="26">
      <c r="A26" s="43" t="inlineStr">
        <is>
          <t>Gas Handling System</t>
        </is>
      </c>
      <c r="B26" s="43" t="inlineStr">
        <is>
          <t>Electronics &amp; Safety Interlock System</t>
        </is>
      </c>
      <c r="C26" s="43" t="n">
        <v>0</v>
      </c>
      <c r="D26" s="52" t="n">
        <v>0</v>
      </c>
      <c r="E26" s="31">
        <f>C26*D26</f>
        <v/>
      </c>
      <c r="F26" s="43" t="n">
        <v>0</v>
      </c>
      <c r="G26" s="59" t="n">
        <v>0</v>
      </c>
      <c r="H26" s="31">
        <f>F26*G26</f>
        <v/>
      </c>
      <c r="I26" s="48" t="n">
        <v>18000</v>
      </c>
      <c r="J26" s="31">
        <f>E26+H26+I26</f>
        <v/>
      </c>
      <c r="K26" s="31">
        <f>J26*0.12</f>
        <v/>
      </c>
      <c r="L26" s="41">
        <f>(J26+K26)*'S01_Disclaimer_Assumptions'!$B$38</f>
        <v/>
      </c>
      <c r="M26" s="31">
        <f>J26+K26+L26</f>
        <v/>
      </c>
      <c r="N26" s="8" t="inlineStr">
        <is>
          <t>Gas detection sensors, PLC safety relays, solenoid driver cards, HMI</t>
        </is>
      </c>
    </row>
    <row r="27">
      <c r="A27" s="43" t="inlineStr">
        <is>
          <t>Gas Handling System</t>
        </is>
      </c>
      <c r="B27" s="43" t="inlineStr">
        <is>
          <t>Assembly &amp; Leak Testing</t>
        </is>
      </c>
      <c r="C27" s="43" t="n">
        <v>0</v>
      </c>
      <c r="D27" s="52" t="n">
        <v>0</v>
      </c>
      <c r="E27" s="31">
        <f>C27*D27</f>
        <v/>
      </c>
      <c r="F27" s="43" t="n">
        <v>28</v>
      </c>
      <c r="G27" s="60">
        <f>'S01_Disclaimer_Assumptions'!$B$23</f>
        <v/>
      </c>
      <c r="H27" s="31">
        <f>F27*G27</f>
        <v/>
      </c>
      <c r="I27" s="31" t="n">
        <v>0</v>
      </c>
      <c r="J27" s="31">
        <f>E27+H27+I27</f>
        <v/>
      </c>
      <c r="K27" s="31">
        <f>J27*0.12</f>
        <v/>
      </c>
      <c r="L27" s="41">
        <f>(J27+K27)*'S01_Disclaimer_Assumptions'!$B$38</f>
        <v/>
      </c>
      <c r="M27" s="31">
        <f>J27+K27+L27</f>
        <v/>
      </c>
      <c r="N27" s="8" t="inlineStr">
        <is>
          <t>Assembly, helium leak test (&lt;1E-9 atm·cc/s), pressure hold test, passivation</t>
        </is>
      </c>
    </row>
    <row r="28">
      <c r="A28" s="43" t="inlineStr">
        <is>
          <t>Gas Handling System</t>
        </is>
      </c>
      <c r="B28" s="43" t="inlineStr">
        <is>
          <t>Quality / Acceptance Testing</t>
        </is>
      </c>
      <c r="C28" s="43" t="n">
        <v>0</v>
      </c>
      <c r="D28" s="52" t="n">
        <v>0</v>
      </c>
      <c r="E28" s="31">
        <f>C28*D28</f>
        <v/>
      </c>
      <c r="F28" s="43" t="n">
        <v>8</v>
      </c>
      <c r="G28" s="60">
        <f>'S01_Disclaimer_Assumptions'!$B$24</f>
        <v/>
      </c>
      <c r="H28" s="31">
        <f>F28*G28</f>
        <v/>
      </c>
      <c r="I28" s="31" t="n">
        <v>0</v>
      </c>
      <c r="J28" s="31">
        <f>E28+H28+I28</f>
        <v/>
      </c>
      <c r="K28" s="31">
        <f>J28*0.12</f>
        <v/>
      </c>
      <c r="L28" s="41">
        <f>(J28+K28)*'S01_Disclaimer_Assumptions'!$B$38</f>
        <v/>
      </c>
      <c r="M28" s="31">
        <f>J28+K28+L28</f>
        <v/>
      </c>
      <c r="N28" s="8" t="inlineStr">
        <is>
          <t>Gas purity validation, flow calibration, emergency shutoff functional test</t>
        </is>
      </c>
    </row>
    <row r="29">
      <c r="A29" s="43" t="inlineStr">
        <is>
          <t>PLC Control System</t>
        </is>
      </c>
      <c r="B29" s="43" t="inlineStr">
        <is>
          <t>Purchased Subcomponents – PLC Hardware</t>
        </is>
      </c>
      <c r="C29" s="43" t="n">
        <v>0</v>
      </c>
      <c r="D29" s="52" t="n">
        <v>0</v>
      </c>
      <c r="E29" s="31">
        <f>C29*D29</f>
        <v/>
      </c>
      <c r="F29" s="43" t="n">
        <v>0</v>
      </c>
      <c r="G29" s="59" t="n">
        <v>0</v>
      </c>
      <c r="H29" s="31">
        <f>F29*G29</f>
        <v/>
      </c>
      <c r="I29" s="48" t="n">
        <v>42000</v>
      </c>
      <c r="J29" s="31">
        <f>E29+H29+I29</f>
        <v/>
      </c>
      <c r="K29" s="31">
        <f>J29*0.12</f>
        <v/>
      </c>
      <c r="L29" s="41">
        <f>(J29+K29)*'S01_Disclaimer_Assumptions'!$B$38</f>
        <v/>
      </c>
      <c r="M29" s="31">
        <f>J29+K29+L29</f>
        <v/>
      </c>
      <c r="N29" s="8" t="inlineStr">
        <is>
          <t>Siemens S7-1500 CPU, I/O cards, power supplies, HMI panel; list price</t>
        </is>
      </c>
    </row>
    <row r="30">
      <c r="A30" s="43" t="inlineStr">
        <is>
          <t>PLC Control System</t>
        </is>
      </c>
      <c r="B30" s="43" t="inlineStr">
        <is>
          <t>Panel Fabrication &amp; Wiring</t>
        </is>
      </c>
      <c r="C30" s="43" t="n">
        <v>0</v>
      </c>
      <c r="D30" s="52" t="n">
        <v>0</v>
      </c>
      <c r="E30" s="31">
        <f>C30*D30</f>
        <v/>
      </c>
      <c r="F30" s="43" t="n">
        <v>45</v>
      </c>
      <c r="G30" s="60">
        <f>'S01_Disclaimer_Assumptions'!$B$23</f>
        <v/>
      </c>
      <c r="H30" s="31">
        <f>F30*G30</f>
        <v/>
      </c>
      <c r="I30" s="31" t="n">
        <v>0</v>
      </c>
      <c r="J30" s="31">
        <f>E30+H30+I30</f>
        <v/>
      </c>
      <c r="K30" s="31">
        <f>J30*0.12</f>
        <v/>
      </c>
      <c r="L30" s="41">
        <f>(J30+K30)*'S01_Disclaimer_Assumptions'!$B$38</f>
        <v/>
      </c>
      <c r="M30" s="31">
        <f>J30+K30+L30</f>
        <v/>
      </c>
      <c r="N30" s="8" t="inlineStr">
        <is>
          <t>Control panel fabrication, DIN rail mounting, cable management, labeling</t>
        </is>
      </c>
    </row>
    <row r="31">
      <c r="A31" s="43" t="inlineStr">
        <is>
          <t>PLC Control System</t>
        </is>
      </c>
      <c r="B31" s="43" t="inlineStr">
        <is>
          <t>Software Development &amp; Programming</t>
        </is>
      </c>
      <c r="C31" s="43" t="n">
        <v>0</v>
      </c>
      <c r="D31" s="52" t="n">
        <v>0</v>
      </c>
      <c r="E31" s="31">
        <f>C31*D31</f>
        <v/>
      </c>
      <c r="F31" s="43" t="n">
        <v>80</v>
      </c>
      <c r="G31" s="60">
        <f>'S01_Disclaimer_Assumptions'!$B$24</f>
        <v/>
      </c>
      <c r="H31" s="31">
        <f>F31*G31</f>
        <v/>
      </c>
      <c r="I31" s="31" t="n">
        <v>0</v>
      </c>
      <c r="J31" s="31">
        <f>E31+H31+I31</f>
        <v/>
      </c>
      <c r="K31" s="31">
        <f>J31*0.12</f>
        <v/>
      </c>
      <c r="L31" s="41">
        <f>(J31+K31)*'S01_Disclaimer_Assumptions'!$B$38</f>
        <v/>
      </c>
      <c r="M31" s="31">
        <f>J31+K31+L31</f>
        <v/>
      </c>
      <c r="N31" s="8" t="inlineStr">
        <is>
          <t>Ladder logic/FBD development, HMI graphics, alarm management, I/O mapping</t>
        </is>
      </c>
    </row>
    <row r="32">
      <c r="A32" s="43" t="inlineStr">
        <is>
          <t>PLC Control System</t>
        </is>
      </c>
      <c r="B32" s="43" t="inlineStr">
        <is>
          <t>Factory Acceptance Testing</t>
        </is>
      </c>
      <c r="C32" s="43" t="n">
        <v>0</v>
      </c>
      <c r="D32" s="52" t="n">
        <v>0</v>
      </c>
      <c r="E32" s="31">
        <f>C32*D32</f>
        <v/>
      </c>
      <c r="F32" s="43" t="n">
        <v>16</v>
      </c>
      <c r="G32" s="60">
        <f>'S01_Disclaimer_Assumptions'!$B$24</f>
        <v/>
      </c>
      <c r="H32" s="31">
        <f>F32*G32</f>
        <v/>
      </c>
      <c r="I32" s="31" t="n">
        <v>0</v>
      </c>
      <c r="J32" s="31">
        <f>E32+H32+I32</f>
        <v/>
      </c>
      <c r="K32" s="31">
        <f>J32*0.12</f>
        <v/>
      </c>
      <c r="L32" s="41">
        <f>(J32+K32)*'S01_Disclaimer_Assumptions'!$B$38</f>
        <v/>
      </c>
      <c r="M32" s="31">
        <f>J32+K32+L32</f>
        <v/>
      </c>
      <c r="N32" s="8" t="inlineStr">
        <is>
          <t>FAT protocol execution, point-to-point I/O check, interlock simulation</t>
        </is>
      </c>
    </row>
    <row r="34" ht="18" customHeight="1">
      <c r="A34" s="58" t="inlineStr">
        <is>
          <t>SHOULD-COST SUMMARY BY EQUIPMENT CATEGORY</t>
        </is>
      </c>
    </row>
    <row r="35" ht="30" customHeight="1">
      <c r="A35" s="54" t="inlineStr">
        <is>
          <t>Equipment Category</t>
        </is>
      </c>
      <c r="B35" s="54" t="inlineStr">
        <is>
          <t>Material Cost</t>
        </is>
      </c>
      <c r="C35" s="54" t="inlineStr">
        <is>
          <t>Labor Cost</t>
        </is>
      </c>
      <c r="D35" s="54" t="inlineStr">
        <is>
          <t>Subcomponents</t>
        </is>
      </c>
      <c r="E35" s="54" t="inlineStr">
        <is>
          <t>Sub-Total</t>
        </is>
      </c>
      <c r="F35" s="54" t="inlineStr">
        <is>
          <t>Overhead (12%)</t>
        </is>
      </c>
      <c r="G35" s="54" t="inlineStr">
        <is>
          <t>Supplier Margin</t>
        </is>
      </c>
      <c r="H35" s="54" t="inlineStr">
        <is>
          <t>TOTAL Should-Cost</t>
        </is>
      </c>
      <c r="I35" s="54" t="inlineStr">
        <is>
          <t>Supplier Quote (Budget Est.)</t>
        </is>
      </c>
      <c r="J35" s="54" t="inlineStr">
        <is>
          <t>Variance (Quote-SC)</t>
        </is>
      </c>
      <c r="K35" s="54" t="inlineStr">
        <is>
          <t>Variance %</t>
        </is>
      </c>
    </row>
    <row r="36">
      <c r="A36" s="6" t="inlineStr">
        <is>
          <t>Vacuum Pump System</t>
        </is>
      </c>
      <c r="B36" s="31">
        <f>SUM(E5:E10)</f>
        <v/>
      </c>
      <c r="C36" s="31">
        <f>SUM(H5:H10)</f>
        <v/>
      </c>
      <c r="D36" s="31">
        <f>SUM(I5:I10)</f>
        <v/>
      </c>
      <c r="E36" s="31">
        <f>B36+C36+D36</f>
        <v/>
      </c>
      <c r="F36" s="31">
        <f>E36*0.12</f>
        <v/>
      </c>
      <c r="G36" s="31">
        <f>(E36+F36)*'S01_Disclaimer_Assumptions'!$B$38</f>
        <v/>
      </c>
      <c r="H36" s="31">
        <f>E36+F36+G36</f>
        <v/>
      </c>
      <c r="I36" s="48" t="n">
        <v>195000</v>
      </c>
      <c r="J36" s="31">
        <f>I36-H36</f>
        <v/>
      </c>
      <c r="K36" s="32">
        <f>J36/H36</f>
        <v/>
      </c>
    </row>
    <row r="37">
      <c r="A37" s="6" t="inlineStr">
        <is>
          <t>High-Temp Furnace</t>
        </is>
      </c>
      <c r="B37" s="31">
        <f>SUM(E11:E16)</f>
        <v/>
      </c>
      <c r="C37" s="31">
        <f>SUM(H11:H16)</f>
        <v/>
      </c>
      <c r="D37" s="31">
        <f>SUM(I11:I16)</f>
        <v/>
      </c>
      <c r="E37" s="31">
        <f>B37+C37+D37</f>
        <v/>
      </c>
      <c r="F37" s="31">
        <f>E37*0.12</f>
        <v/>
      </c>
      <c r="G37" s="31">
        <f>(E37+F37)*'S01_Disclaimer_Assumptions'!$B$38</f>
        <v/>
      </c>
      <c r="H37" s="31">
        <f>E37+F37+G37</f>
        <v/>
      </c>
      <c r="I37" s="48" t="n">
        <v>540000</v>
      </c>
      <c r="J37" s="31">
        <f>I37-H37</f>
        <v/>
      </c>
      <c r="K37" s="32">
        <f>J37/H37</f>
        <v/>
      </c>
    </row>
    <row r="38">
      <c r="A38" s="6" t="inlineStr">
        <is>
          <t>Robotics / Automation</t>
        </is>
      </c>
      <c r="B38" s="31">
        <f>SUM(E17:E22)</f>
        <v/>
      </c>
      <c r="C38" s="31">
        <f>SUM(H17:H22)</f>
        <v/>
      </c>
      <c r="D38" s="31">
        <f>SUM(I17:I22)</f>
        <v/>
      </c>
      <c r="E38" s="31">
        <f>B38+C38+D38</f>
        <v/>
      </c>
      <c r="F38" s="31">
        <f>E38*0.12</f>
        <v/>
      </c>
      <c r="G38" s="31">
        <f>(E38+F38)*'S01_Disclaimer_Assumptions'!$B$38</f>
        <v/>
      </c>
      <c r="H38" s="31">
        <f>E38+F38+G38</f>
        <v/>
      </c>
      <c r="I38" s="48" t="n">
        <v>285000</v>
      </c>
      <c r="J38" s="31">
        <f>I38-H38</f>
        <v/>
      </c>
      <c r="K38" s="32">
        <f>J38/H38</f>
        <v/>
      </c>
    </row>
    <row r="39">
      <c r="A39" s="6" t="inlineStr">
        <is>
          <t>Gas Handling System</t>
        </is>
      </c>
      <c r="B39" s="31">
        <f>SUM(E23:E28)</f>
        <v/>
      </c>
      <c r="C39" s="31">
        <f>SUM(H23:H28)</f>
        <v/>
      </c>
      <c r="D39" s="31">
        <f>SUM(I23:I28)</f>
        <v/>
      </c>
      <c r="E39" s="31">
        <f>B39+C39+D39</f>
        <v/>
      </c>
      <c r="F39" s="31">
        <f>E39*0.12</f>
        <v/>
      </c>
      <c r="G39" s="31">
        <f>(E39+F39)*'S01_Disclaimer_Assumptions'!$B$38</f>
        <v/>
      </c>
      <c r="H39" s="31">
        <f>E39+F39+G39</f>
        <v/>
      </c>
      <c r="I39" s="48" t="n">
        <v>205000</v>
      </c>
      <c r="J39" s="31">
        <f>I39-H39</f>
        <v/>
      </c>
      <c r="K39" s="32">
        <f>J39/H39</f>
        <v/>
      </c>
    </row>
    <row r="40">
      <c r="A40" s="6" t="inlineStr">
        <is>
          <t>PLC Control System</t>
        </is>
      </c>
      <c r="B40" s="31">
        <f>SUM(E29:E32)</f>
        <v/>
      </c>
      <c r="C40" s="31">
        <f>SUM(H29:H32)</f>
        <v/>
      </c>
      <c r="D40" s="31">
        <f>SUM(I29:I32)</f>
        <v/>
      </c>
      <c r="E40" s="31">
        <f>B40+C40+D40</f>
        <v/>
      </c>
      <c r="F40" s="31">
        <f>E40*0.12</f>
        <v/>
      </c>
      <c r="G40" s="31">
        <f>(E40+F40)*'S01_Disclaimer_Assumptions'!$B$38</f>
        <v/>
      </c>
      <c r="H40" s="31">
        <f>E40+F40+G40</f>
        <v/>
      </c>
      <c r="I40" s="48" t="n">
        <v>175000</v>
      </c>
      <c r="J40" s="31">
        <f>I40-H40</f>
        <v/>
      </c>
      <c r="K40" s="32">
        <f>J40/H40</f>
        <v/>
      </c>
    </row>
    <row r="41">
      <c r="A41" s="56" t="inlineStr">
        <is>
          <t>GRAND TOTAL</t>
        </is>
      </c>
      <c r="B41" s="57">
        <f>SUM(B36:B40)</f>
        <v/>
      </c>
      <c r="C41" s="57">
        <f>SUM(C36:C40)</f>
        <v/>
      </c>
      <c r="D41" s="57">
        <f>SUM(D36:D40)</f>
        <v/>
      </c>
      <c r="E41" s="57">
        <f>SUM(E36:E40)</f>
        <v/>
      </c>
      <c r="F41" s="57">
        <f>SUM(F36:F40)</f>
        <v/>
      </c>
      <c r="G41" s="57">
        <f>SUM(G36:G40)</f>
        <v/>
      </c>
      <c r="H41" s="57">
        <f>SUM(H36:H40)</f>
        <v/>
      </c>
      <c r="I41" s="57">
        <f>SUM(I36:I40)</f>
        <v/>
      </c>
      <c r="J41" s="57">
        <f>SUM(J36:J40)</f>
        <v/>
      </c>
      <c r="K41" s="61">
        <f>J41/H41</f>
        <v/>
      </c>
    </row>
  </sheetData>
  <mergeCells count="3">
    <mergeCell ref="A34:K34"/>
    <mergeCell ref="A2:N2"/>
    <mergeCell ref="A1:N1"/>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1:M50"/>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26" customHeight="1">
      <c r="A1" s="53" t="inlineStr">
        <is>
          <t>S05 — Total Cost of Ownership (TCO) &amp; Downtime Risk Model — 10-Year Lifecycle Analysis</t>
        </is>
      </c>
    </row>
    <row r="2" ht="15" customHeight="1">
      <c r="A2" s="2" t="inlineStr">
        <is>
          <t>Compares Supplier A (Premium — TEL/AMAT-type) vs Supplier B (Value — domestic alternative) across purchase, energy, maintenance, downtime, and lifecycle NPV | Discount Rate from S01_Disclaimer_Assumptions</t>
        </is>
      </c>
    </row>
    <row r="4" ht="18" customHeight="1">
      <c r="A4" s="58" t="inlineStr">
        <is>
          <t>MODEL PARAMETERS (linked from S01_Disclaimer_Assumptions)</t>
        </is>
      </c>
    </row>
    <row r="5">
      <c r="A5" t="inlineStr">
        <is>
          <t>Discount Rate (WACC)</t>
        </is>
      </c>
      <c r="B5" s="62">
        <f>'S01_Disclaimer_Assumptions'!$B$15</f>
        <v/>
      </c>
    </row>
    <row r="6">
      <c r="A6" t="inlineStr">
        <is>
          <t>Project Horizon (Years)</t>
        </is>
      </c>
      <c r="B6" t="n">
        <v>10</v>
      </c>
    </row>
    <row r="7">
      <c r="A7" t="inlineStr">
        <is>
          <t>Energy Price (USD/kWh)</t>
        </is>
      </c>
      <c r="B7" s="63">
        <f>'S01_Disclaimer_Assumptions'!$B$8</f>
        <v/>
      </c>
    </row>
    <row r="8">
      <c r="A8" t="inlineStr">
        <is>
          <t>Production Value per Hour (USD/hr)</t>
        </is>
      </c>
      <c r="B8" s="64">
        <f>'S01_Disclaimer_Assumptions'!$B$33</f>
        <v/>
      </c>
    </row>
    <row r="9">
      <c r="A9" t="inlineStr">
        <is>
          <t>Inflation Rate</t>
        </is>
      </c>
      <c r="B9" s="62">
        <f>'S01_Disclaimer_Assumptions'!$B$19</f>
        <v/>
      </c>
    </row>
    <row r="11" ht="18" customHeight="1">
      <c r="A11" s="58" t="inlineStr">
        <is>
          <t>EQUIPMENT COMPARISON — SUPPLIER A (PREMIUM) vs SUPPLIER B (VALUE)</t>
        </is>
      </c>
    </row>
    <row r="12" ht="30" customHeight="1">
      <c r="A12" s="54" t="inlineStr">
        <is>
          <t>Cost Parameter</t>
        </is>
      </c>
      <c r="B12" s="54" t="inlineStr">
        <is>
          <t>Supplier A (Premium)</t>
        </is>
      </c>
      <c r="C12" s="54" t="inlineStr">
        <is>
          <t>Supplier B (Value)</t>
        </is>
      </c>
      <c r="D12" s="54" t="inlineStr">
        <is>
          <t>Delta (B-A)</t>
        </is>
      </c>
      <c r="E12" s="54" t="inlineStr">
        <is>
          <t>Notes</t>
        </is>
      </c>
    </row>
    <row r="13">
      <c r="A13" s="6" t="inlineStr">
        <is>
          <t>Purchase Price (per unit, USD)</t>
        </is>
      </c>
      <c r="B13" s="48" t="n">
        <v>680000</v>
      </c>
      <c r="C13" s="48" t="n">
        <v>520000</v>
      </c>
      <c r="D13" s="31">
        <f>C13-B13</f>
        <v/>
      </c>
      <c r="E13" s="8" t="inlineStr">
        <is>
          <t>Supplier A = TEL EQ-004 type; Supplier B = domestic alternative</t>
        </is>
      </c>
    </row>
    <row r="14">
      <c r="A14" s="6" t="inlineStr">
        <is>
          <t>Quantity</t>
        </is>
      </c>
      <c r="B14" s="65" t="n">
        <v>2</v>
      </c>
      <c r="C14" s="65" t="n">
        <v>2</v>
      </c>
      <c r="D14" s="66">
        <f>C14-B14</f>
        <v/>
      </c>
      <c r="E14" s="8" t="inlineStr">
        <is>
          <t>Equal quantity for fair comparison</t>
        </is>
      </c>
    </row>
    <row r="15">
      <c r="A15" s="6" t="inlineStr">
        <is>
          <t>Installation Cost (per unit, USD)</t>
        </is>
      </c>
      <c r="B15" s="48" t="n">
        <v>52000</v>
      </c>
      <c r="C15" s="48" t="n">
        <v>38000</v>
      </c>
      <c r="D15" s="31">
        <f>C15-B15</f>
        <v/>
      </c>
      <c r="E15" s="8" t="inlineStr">
        <is>
          <t>Supplier A requires specialized installation crew (JPY contract)</t>
        </is>
      </c>
    </row>
    <row r="16">
      <c r="A16" s="6" t="inlineStr">
        <is>
          <t>Energy Consumption (kWh/hr)</t>
        </is>
      </c>
      <c r="B16" s="65" t="n">
        <v>110</v>
      </c>
      <c r="C16" s="65" t="n">
        <v>98</v>
      </c>
      <c r="D16" s="66">
        <f>C16-B16</f>
        <v/>
      </c>
      <c r="E16" s="8" t="inlineStr">
        <is>
          <t>Supplier A higher thermal efficiency spec; Supplier B 11% higher power draw</t>
        </is>
      </c>
    </row>
    <row r="17">
      <c r="A17" s="6" t="inlineStr">
        <is>
          <t>Operational Hours (Annual)</t>
        </is>
      </c>
      <c r="B17" s="65" t="n">
        <v>8320</v>
      </c>
      <c r="C17" s="65" t="n">
        <v>8320</v>
      </c>
      <c r="D17" s="66">
        <f>C17-B17</f>
        <v/>
      </c>
      <c r="E17" s="8" t="inlineStr">
        <is>
          <t>Both operate on identical shift schedule</t>
        </is>
      </c>
    </row>
    <row r="18">
      <c r="A18" s="6" t="inlineStr">
        <is>
          <t>Maintenance Rate (% of purchase)</t>
        </is>
      </c>
      <c r="B18" s="47" t="n">
        <v>0.045</v>
      </c>
      <c r="C18" s="47" t="n">
        <v>0.055</v>
      </c>
      <c r="D18" s="32">
        <f>C18-B18</f>
        <v/>
      </c>
      <c r="E18" s="8" t="inlineStr">
        <is>
          <t>Supplier A lower maint rate; Supplier B higher due to older platform design</t>
        </is>
      </c>
    </row>
    <row r="19">
      <c r="A19" s="6" t="inlineStr">
        <is>
          <t>Expected MTBF (hrs)</t>
        </is>
      </c>
      <c r="B19" s="65" t="n">
        <v>4200</v>
      </c>
      <c r="C19" s="65" t="n">
        <v>2800</v>
      </c>
      <c r="D19" s="66">
        <f>C19-B19</f>
        <v/>
      </c>
      <c r="E19" s="8" t="inlineStr">
        <is>
          <t>Mean Time Between Failures; Supplier A more robust platform</t>
        </is>
      </c>
    </row>
    <row r="20">
      <c r="A20" s="6" t="inlineStr">
        <is>
          <t>Expected MTTR (hrs)</t>
        </is>
      </c>
      <c r="B20" s="65" t="n">
        <v>6</v>
      </c>
      <c r="C20" s="65" t="n">
        <v>10</v>
      </c>
      <c r="D20" s="66">
        <f>C20-B20</f>
        <v/>
      </c>
      <c r="E20" s="8" t="inlineStr">
        <is>
          <t>Mean Time To Repair; Supplier A has faster FSE response SLA</t>
        </is>
      </c>
    </row>
    <row r="21">
      <c r="A21" s="6" t="inlineStr">
        <is>
          <t>Spare Parts Annual Cost (USD)</t>
        </is>
      </c>
      <c r="B21" s="48" t="n">
        <v>18000</v>
      </c>
      <c r="C21" s="48" t="n">
        <v>28000</v>
      </c>
      <c r="D21" s="31">
        <f>C21-B21</f>
        <v/>
      </c>
      <c r="E21" s="8" t="inlineStr">
        <is>
          <t>Supplier A proprietary spares expensive but fewer events; B more frequent</t>
        </is>
      </c>
    </row>
    <row r="22">
      <c r="A22" s="6" t="inlineStr">
        <is>
          <t>Expected Equipment Lifetime (yrs)</t>
        </is>
      </c>
      <c r="B22" s="65" t="n">
        <v>15</v>
      </c>
      <c r="C22" s="65" t="n">
        <v>12</v>
      </c>
      <c r="D22" s="66">
        <f>C22-B22</f>
        <v/>
      </c>
      <c r="E22" s="8" t="inlineStr">
        <is>
          <t>Supplier A longer qualified life; Supplier B 12 yr basis</t>
        </is>
      </c>
    </row>
    <row r="23">
      <c r="A23" s="6" t="inlineStr">
        <is>
          <t>Residual Value at End of Life (%)</t>
        </is>
      </c>
      <c r="B23" s="47" t="n">
        <v>0.05</v>
      </c>
      <c r="C23" s="47" t="n">
        <v>0.03</v>
      </c>
      <c r="D23" s="32">
        <f>C23-B23</f>
        <v/>
      </c>
      <c r="E23" s="8" t="inlineStr">
        <is>
          <t>Estimated salvage/residual as % of purchase price</t>
        </is>
      </c>
    </row>
    <row r="25" ht="18" customHeight="1">
      <c r="A25" s="58" t="inlineStr">
        <is>
          <t>10-YEAR LIFECYCLE COST MODEL</t>
        </is>
      </c>
    </row>
    <row r="26" ht="30" customHeight="1">
      <c r="A26" s="54" t="inlineStr">
        <is>
          <t>Cost Component / Supplier</t>
        </is>
      </c>
      <c r="B26" s="54" t="inlineStr">
        <is>
          <t>Y1</t>
        </is>
      </c>
      <c r="C26" s="54" t="inlineStr">
        <is>
          <t>Y2</t>
        </is>
      </c>
      <c r="D26" s="54" t="inlineStr">
        <is>
          <t>Y3</t>
        </is>
      </c>
      <c r="E26" s="54" t="inlineStr">
        <is>
          <t>Y4</t>
        </is>
      </c>
      <c r="F26" s="54" t="inlineStr">
        <is>
          <t>Y5</t>
        </is>
      </c>
      <c r="G26" s="54" t="inlineStr">
        <is>
          <t>Y6</t>
        </is>
      </c>
      <c r="H26" s="54" t="inlineStr">
        <is>
          <t>Y7</t>
        </is>
      </c>
      <c r="I26" s="54" t="inlineStr">
        <is>
          <t>Y8</t>
        </is>
      </c>
      <c r="J26" s="54" t="inlineStr">
        <is>
          <t>Y9</t>
        </is>
      </c>
      <c r="K26" s="54" t="inlineStr">
        <is>
          <t>Y10</t>
        </is>
      </c>
      <c r="L26" s="54" t="inlineStr">
        <is>
          <t>10-Yr Total</t>
        </is>
      </c>
      <c r="M26" s="54" t="inlineStr">
        <is>
          <t>NPV (10-Yr)</t>
        </is>
      </c>
    </row>
    <row r="27" ht="18" customHeight="1">
      <c r="A27" s="67" t="inlineStr">
        <is>
          <t>1. Purchase Cost (total)</t>
        </is>
      </c>
    </row>
    <row r="28">
      <c r="A28" s="6" t="inlineStr">
        <is>
          <t>Supplier A</t>
        </is>
      </c>
      <c r="B28" s="31">
        <f>680000*2</f>
        <v/>
      </c>
      <c r="C28" s="31" t="n">
        <v>0</v>
      </c>
      <c r="D28" s="31" t="n">
        <v>0</v>
      </c>
      <c r="E28" s="31" t="n">
        <v>0</v>
      </c>
      <c r="F28" s="31" t="n">
        <v>0</v>
      </c>
      <c r="G28" s="31" t="n">
        <v>0</v>
      </c>
      <c r="H28" s="31" t="n">
        <v>0</v>
      </c>
      <c r="I28" s="31" t="n">
        <v>0</v>
      </c>
      <c r="J28" s="31" t="n">
        <v>0</v>
      </c>
      <c r="K28" s="31" t="n">
        <v>0</v>
      </c>
      <c r="L28" s="31">
        <f>SUM(B28:K28)</f>
        <v/>
      </c>
      <c r="M28" s="31">
        <f>NPV('S01_Disclaimer_Assumptions'!$B$15,B28:K28)</f>
        <v/>
      </c>
    </row>
    <row r="29">
      <c r="A29" s="6" t="inlineStr">
        <is>
          <t>Supplier B</t>
        </is>
      </c>
      <c r="B29" s="31">
        <f>520000*2</f>
        <v/>
      </c>
      <c r="C29" s="31" t="n">
        <v>0</v>
      </c>
      <c r="D29" s="31" t="n">
        <v>0</v>
      </c>
      <c r="E29" s="31" t="n">
        <v>0</v>
      </c>
      <c r="F29" s="31" t="n">
        <v>0</v>
      </c>
      <c r="G29" s="31" t="n">
        <v>0</v>
      </c>
      <c r="H29" s="31" t="n">
        <v>0</v>
      </c>
      <c r="I29" s="31" t="n">
        <v>0</v>
      </c>
      <c r="J29" s="31" t="n">
        <v>0</v>
      </c>
      <c r="K29" s="31" t="n">
        <v>0</v>
      </c>
      <c r="L29" s="31">
        <f>SUM(B29:K29)</f>
        <v/>
      </c>
      <c r="M29" s="31">
        <f>NPV('S01_Disclaimer_Assumptions'!$B$15,B29:K29)</f>
        <v/>
      </c>
    </row>
    <row r="30" ht="18" customHeight="1">
      <c r="A30" s="67" t="inlineStr">
        <is>
          <t>2. Installation Cost (total)</t>
        </is>
      </c>
    </row>
    <row r="31">
      <c r="A31" s="6" t="inlineStr">
        <is>
          <t>Supplier A</t>
        </is>
      </c>
      <c r="B31" s="31">
        <f>52000*2</f>
        <v/>
      </c>
      <c r="C31" s="31" t="n">
        <v>0</v>
      </c>
      <c r="D31" s="31" t="n">
        <v>0</v>
      </c>
      <c r="E31" s="31" t="n">
        <v>0</v>
      </c>
      <c r="F31" s="31" t="n">
        <v>0</v>
      </c>
      <c r="G31" s="31" t="n">
        <v>0</v>
      </c>
      <c r="H31" s="31" t="n">
        <v>0</v>
      </c>
      <c r="I31" s="31" t="n">
        <v>0</v>
      </c>
      <c r="J31" s="31" t="n">
        <v>0</v>
      </c>
      <c r="K31" s="31" t="n">
        <v>0</v>
      </c>
      <c r="L31" s="31">
        <f>SUM(B31:K31)</f>
        <v/>
      </c>
      <c r="M31" s="31">
        <f>NPV('S01_Disclaimer_Assumptions'!$B$15,B31:K31)</f>
        <v/>
      </c>
    </row>
    <row r="32">
      <c r="A32" s="6" t="inlineStr">
        <is>
          <t>Supplier B</t>
        </is>
      </c>
      <c r="B32" s="31">
        <f>38000*2</f>
        <v/>
      </c>
      <c r="C32" s="31" t="n">
        <v>0</v>
      </c>
      <c r="D32" s="31" t="n">
        <v>0</v>
      </c>
      <c r="E32" s="31" t="n">
        <v>0</v>
      </c>
      <c r="F32" s="31" t="n">
        <v>0</v>
      </c>
      <c r="G32" s="31" t="n">
        <v>0</v>
      </c>
      <c r="H32" s="31" t="n">
        <v>0</v>
      </c>
      <c r="I32" s="31" t="n">
        <v>0</v>
      </c>
      <c r="J32" s="31" t="n">
        <v>0</v>
      </c>
      <c r="K32" s="31" t="n">
        <v>0</v>
      </c>
      <c r="L32" s="31">
        <f>SUM(B32:K32)</f>
        <v/>
      </c>
      <c r="M32" s="31">
        <f>NPV('S01_Disclaimer_Assumptions'!$B$15,B32:K32)</f>
        <v/>
      </c>
    </row>
    <row r="33" ht="18" customHeight="1">
      <c r="A33" s="67" t="inlineStr">
        <is>
          <t>3. Annual Energy Cost (escalates with inflation from Year 2)</t>
        </is>
      </c>
    </row>
    <row r="34">
      <c r="A34" s="6" t="inlineStr">
        <is>
          <t>Supplier A</t>
        </is>
      </c>
      <c r="B34" s="31">
        <f>110*2*8320*'S01_Disclaimer_Assumptions'!$B$8</f>
        <v/>
      </c>
      <c r="C34" s="31">
        <f>B34*(1+'S01_Disclaimer_Assumptions'!$B$19)</f>
        <v/>
      </c>
      <c r="D34" s="31">
        <f>C34*(1+'S01_Disclaimer_Assumptions'!$B$19)</f>
        <v/>
      </c>
      <c r="E34" s="31">
        <f>D34*(1+'S01_Disclaimer_Assumptions'!$B$19)</f>
        <v/>
      </c>
      <c r="F34" s="31">
        <f>E34*(1+'S01_Disclaimer_Assumptions'!$B$19)</f>
        <v/>
      </c>
      <c r="G34" s="31">
        <f>F34*(1+'S01_Disclaimer_Assumptions'!$B$19)</f>
        <v/>
      </c>
      <c r="H34" s="31">
        <f>G34*(1+'S01_Disclaimer_Assumptions'!$B$19)</f>
        <v/>
      </c>
      <c r="I34" s="31">
        <f>H34*(1+'S01_Disclaimer_Assumptions'!$B$19)</f>
        <v/>
      </c>
      <c r="J34" s="31">
        <f>I34*(1+'S01_Disclaimer_Assumptions'!$B$19)</f>
        <v/>
      </c>
      <c r="K34" s="31">
        <f>J34*(1+'S01_Disclaimer_Assumptions'!$B$19)</f>
        <v/>
      </c>
      <c r="L34" s="31">
        <f>SUM(B34:K34)</f>
        <v/>
      </c>
      <c r="M34" s="31">
        <f>NPV('S01_Disclaimer_Assumptions'!$B$15,B34:K34)</f>
        <v/>
      </c>
    </row>
    <row r="35">
      <c r="A35" s="6" t="inlineStr">
        <is>
          <t>Supplier B</t>
        </is>
      </c>
      <c r="B35" s="31">
        <f>98*2*8320*'S01_Disclaimer_Assumptions'!$B$8</f>
        <v/>
      </c>
      <c r="C35" s="31">
        <f>B35*(1+'S01_Disclaimer_Assumptions'!$B$19)</f>
        <v/>
      </c>
      <c r="D35" s="31">
        <f>C35*(1+'S01_Disclaimer_Assumptions'!$B$19)</f>
        <v/>
      </c>
      <c r="E35" s="31">
        <f>D35*(1+'S01_Disclaimer_Assumptions'!$B$19)</f>
        <v/>
      </c>
      <c r="F35" s="31">
        <f>E35*(1+'S01_Disclaimer_Assumptions'!$B$19)</f>
        <v/>
      </c>
      <c r="G35" s="31">
        <f>F35*(1+'S01_Disclaimer_Assumptions'!$B$19)</f>
        <v/>
      </c>
      <c r="H35" s="31">
        <f>G35*(1+'S01_Disclaimer_Assumptions'!$B$19)</f>
        <v/>
      </c>
      <c r="I35" s="31">
        <f>H35*(1+'S01_Disclaimer_Assumptions'!$B$19)</f>
        <v/>
      </c>
      <c r="J35" s="31">
        <f>I35*(1+'S01_Disclaimer_Assumptions'!$B$19)</f>
        <v/>
      </c>
      <c r="K35" s="31">
        <f>J35*(1+'S01_Disclaimer_Assumptions'!$B$19)</f>
        <v/>
      </c>
      <c r="L35" s="31">
        <f>SUM(B35:K35)</f>
        <v/>
      </c>
      <c r="M35" s="31">
        <f>NPV('S01_Disclaimer_Assumptions'!$B$15,B35:K35)</f>
        <v/>
      </c>
    </row>
    <row r="36" ht="18" customHeight="1">
      <c r="A36" s="67" t="inlineStr">
        <is>
          <t>4. Annual Maintenance Cost (% of purchase; escalates with inflation)</t>
        </is>
      </c>
    </row>
    <row r="37">
      <c r="A37" s="6" t="inlineStr">
        <is>
          <t>Supplier A</t>
        </is>
      </c>
      <c r="B37" s="31">
        <f>680000*2*0.045</f>
        <v/>
      </c>
      <c r="C37" s="31">
        <f>B37*(1+'S01_Disclaimer_Assumptions'!$B$19)</f>
        <v/>
      </c>
      <c r="D37" s="31">
        <f>C37*(1+'S01_Disclaimer_Assumptions'!$B$19)</f>
        <v/>
      </c>
      <c r="E37" s="31">
        <f>D37*(1+'S01_Disclaimer_Assumptions'!$B$19)</f>
        <v/>
      </c>
      <c r="F37" s="31">
        <f>E37*(1+'S01_Disclaimer_Assumptions'!$B$19)</f>
        <v/>
      </c>
      <c r="G37" s="31">
        <f>F37*(1+'S01_Disclaimer_Assumptions'!$B$19)</f>
        <v/>
      </c>
      <c r="H37" s="31">
        <f>G37*(1+'S01_Disclaimer_Assumptions'!$B$19)</f>
        <v/>
      </c>
      <c r="I37" s="31">
        <f>H37*(1+'S01_Disclaimer_Assumptions'!$B$19)</f>
        <v/>
      </c>
      <c r="J37" s="31">
        <f>I37*(1+'S01_Disclaimer_Assumptions'!$B$19)</f>
        <v/>
      </c>
      <c r="K37" s="31">
        <f>J37*(1+'S01_Disclaimer_Assumptions'!$B$19)</f>
        <v/>
      </c>
      <c r="L37" s="31">
        <f>SUM(B37:K37)</f>
        <v/>
      </c>
      <c r="M37" s="31">
        <f>NPV('S01_Disclaimer_Assumptions'!$B$15,B37:K37)</f>
        <v/>
      </c>
    </row>
    <row r="38">
      <c r="A38" s="6" t="inlineStr">
        <is>
          <t>Supplier B</t>
        </is>
      </c>
      <c r="B38" s="31">
        <f>520000*2*0.055</f>
        <v/>
      </c>
      <c r="C38" s="31">
        <f>B38*(1+'S01_Disclaimer_Assumptions'!$B$19)</f>
        <v/>
      </c>
      <c r="D38" s="31">
        <f>C38*(1+'S01_Disclaimer_Assumptions'!$B$19)</f>
        <v/>
      </c>
      <c r="E38" s="31">
        <f>D38*(1+'S01_Disclaimer_Assumptions'!$B$19)</f>
        <v/>
      </c>
      <c r="F38" s="31">
        <f>E38*(1+'S01_Disclaimer_Assumptions'!$B$19)</f>
        <v/>
      </c>
      <c r="G38" s="31">
        <f>F38*(1+'S01_Disclaimer_Assumptions'!$B$19)</f>
        <v/>
      </c>
      <c r="H38" s="31">
        <f>G38*(1+'S01_Disclaimer_Assumptions'!$B$19)</f>
        <v/>
      </c>
      <c r="I38" s="31">
        <f>H38*(1+'S01_Disclaimer_Assumptions'!$B$19)</f>
        <v/>
      </c>
      <c r="J38" s="31">
        <f>I38*(1+'S01_Disclaimer_Assumptions'!$B$19)</f>
        <v/>
      </c>
      <c r="K38" s="31">
        <f>J38*(1+'S01_Disclaimer_Assumptions'!$B$19)</f>
        <v/>
      </c>
      <c r="L38" s="31">
        <f>SUM(B38:K38)</f>
        <v/>
      </c>
      <c r="M38" s="31">
        <f>NPV('S01_Disclaimer_Assumptions'!$B$15,B38:K38)</f>
        <v/>
      </c>
    </row>
    <row r="39" ht="18" customHeight="1">
      <c r="A39" s="67" t="inlineStr">
        <is>
          <t>5. Annual Spare Parts Cost (escalates with inflation)</t>
        </is>
      </c>
    </row>
    <row r="40">
      <c r="A40" s="6" t="inlineStr">
        <is>
          <t>Supplier A</t>
        </is>
      </c>
      <c r="B40" s="31">
        <f>18000</f>
        <v/>
      </c>
      <c r="C40" s="31">
        <f>B40*(1+'S01_Disclaimer_Assumptions'!$B$19)</f>
        <v/>
      </c>
      <c r="D40" s="31">
        <f>C40*(1+'S01_Disclaimer_Assumptions'!$B$19)</f>
        <v/>
      </c>
      <c r="E40" s="31">
        <f>D40*(1+'S01_Disclaimer_Assumptions'!$B$19)</f>
        <v/>
      </c>
      <c r="F40" s="31">
        <f>E40*(1+'S01_Disclaimer_Assumptions'!$B$19)</f>
        <v/>
      </c>
      <c r="G40" s="31">
        <f>F40*(1+'S01_Disclaimer_Assumptions'!$B$19)</f>
        <v/>
      </c>
      <c r="H40" s="31">
        <f>G40*(1+'S01_Disclaimer_Assumptions'!$B$19)</f>
        <v/>
      </c>
      <c r="I40" s="31">
        <f>H40*(1+'S01_Disclaimer_Assumptions'!$B$19)</f>
        <v/>
      </c>
      <c r="J40" s="31">
        <f>I40*(1+'S01_Disclaimer_Assumptions'!$B$19)</f>
        <v/>
      </c>
      <c r="K40" s="31">
        <f>J40*(1+'S01_Disclaimer_Assumptions'!$B$19)</f>
        <v/>
      </c>
      <c r="L40" s="31">
        <f>SUM(B40:K40)</f>
        <v/>
      </c>
      <c r="M40" s="31">
        <f>NPV('S01_Disclaimer_Assumptions'!$B$15,B40:K40)</f>
        <v/>
      </c>
    </row>
    <row r="41">
      <c r="A41" s="6" t="inlineStr">
        <is>
          <t>Supplier B</t>
        </is>
      </c>
      <c r="B41" s="31">
        <f>28000</f>
        <v/>
      </c>
      <c r="C41" s="31">
        <f>B41*(1+'S01_Disclaimer_Assumptions'!$B$19)</f>
        <v/>
      </c>
      <c r="D41" s="31">
        <f>C41*(1+'S01_Disclaimer_Assumptions'!$B$19)</f>
        <v/>
      </c>
      <c r="E41" s="31">
        <f>D41*(1+'S01_Disclaimer_Assumptions'!$B$19)</f>
        <v/>
      </c>
      <c r="F41" s="31">
        <f>E41*(1+'S01_Disclaimer_Assumptions'!$B$19)</f>
        <v/>
      </c>
      <c r="G41" s="31">
        <f>F41*(1+'S01_Disclaimer_Assumptions'!$B$19)</f>
        <v/>
      </c>
      <c r="H41" s="31">
        <f>G41*(1+'S01_Disclaimer_Assumptions'!$B$19)</f>
        <v/>
      </c>
      <c r="I41" s="31">
        <f>H41*(1+'S01_Disclaimer_Assumptions'!$B$19)</f>
        <v/>
      </c>
      <c r="J41" s="31">
        <f>I41*(1+'S01_Disclaimer_Assumptions'!$B$19)</f>
        <v/>
      </c>
      <c r="K41" s="31">
        <f>J41*(1+'S01_Disclaimer_Assumptions'!$B$19)</f>
        <v/>
      </c>
      <c r="L41" s="31">
        <f>SUM(B41:K41)</f>
        <v/>
      </c>
      <c r="M41" s="31">
        <f>NPV('S01_Disclaimer_Assumptions'!$B$15,B41:K41)</f>
        <v/>
      </c>
    </row>
    <row r="42" ht="18" customHeight="1">
      <c r="A42" s="67" t="inlineStr">
        <is>
          <t>6. Downtime Cost (Annual) — (Op Hrs ÷ MTBF) × MTTR × Production Value/hr</t>
        </is>
      </c>
    </row>
    <row r="43">
      <c r="A43" s="6" t="inlineStr">
        <is>
          <t>Supplier A</t>
        </is>
      </c>
      <c r="B43" s="31">
        <f>(8320/4200)*6*'S01_Disclaimer_Assumptions'!$B$33</f>
        <v/>
      </c>
      <c r="C43" s="31">
        <f>(8320/4200)*6*'S01_Disclaimer_Assumptions'!$B$33</f>
        <v/>
      </c>
      <c r="D43" s="31">
        <f>(8320/4200)*6*'S01_Disclaimer_Assumptions'!$B$33</f>
        <v/>
      </c>
      <c r="E43" s="31">
        <f>(8320/4200)*6*'S01_Disclaimer_Assumptions'!$B$33</f>
        <v/>
      </c>
      <c r="F43" s="31">
        <f>(8320/4200)*6*'S01_Disclaimer_Assumptions'!$B$33</f>
        <v/>
      </c>
      <c r="G43" s="31">
        <f>(8320/4200)*6*'S01_Disclaimer_Assumptions'!$B$33</f>
        <v/>
      </c>
      <c r="H43" s="31">
        <f>(8320/4200)*6*'S01_Disclaimer_Assumptions'!$B$33</f>
        <v/>
      </c>
      <c r="I43" s="31">
        <f>(8320/4200)*6*'S01_Disclaimer_Assumptions'!$B$33</f>
        <v/>
      </c>
      <c r="J43" s="31">
        <f>(8320/4200)*6*'S01_Disclaimer_Assumptions'!$B$33</f>
        <v/>
      </c>
      <c r="K43" s="31">
        <f>(8320/4200)*6*'S01_Disclaimer_Assumptions'!$B$33</f>
        <v/>
      </c>
      <c r="L43" s="31">
        <f>SUM(B43:K43)</f>
        <v/>
      </c>
      <c r="M43" s="31">
        <f>NPV('S01_Disclaimer_Assumptions'!$B$15,B43:K43)</f>
        <v/>
      </c>
    </row>
    <row r="44">
      <c r="A44" s="6" t="inlineStr">
        <is>
          <t>Supplier B</t>
        </is>
      </c>
      <c r="B44" s="31">
        <f>(8320/2800)*10*'S01_Disclaimer_Assumptions'!$B$33</f>
        <v/>
      </c>
      <c r="C44" s="31">
        <f>(8320/2800)*10*'S01_Disclaimer_Assumptions'!$B$33</f>
        <v/>
      </c>
      <c r="D44" s="31">
        <f>(8320/2800)*10*'S01_Disclaimer_Assumptions'!$B$33</f>
        <v/>
      </c>
      <c r="E44" s="31">
        <f>(8320/2800)*10*'S01_Disclaimer_Assumptions'!$B$33</f>
        <v/>
      </c>
      <c r="F44" s="31">
        <f>(8320/2800)*10*'S01_Disclaimer_Assumptions'!$B$33</f>
        <v/>
      </c>
      <c r="G44" s="31">
        <f>(8320/2800)*10*'S01_Disclaimer_Assumptions'!$B$33</f>
        <v/>
      </c>
      <c r="H44" s="31">
        <f>(8320/2800)*10*'S01_Disclaimer_Assumptions'!$B$33</f>
        <v/>
      </c>
      <c r="I44" s="31">
        <f>(8320/2800)*10*'S01_Disclaimer_Assumptions'!$B$33</f>
        <v/>
      </c>
      <c r="J44" s="31">
        <f>(8320/2800)*10*'S01_Disclaimer_Assumptions'!$B$33</f>
        <v/>
      </c>
      <c r="K44" s="31">
        <f>(8320/2800)*10*'S01_Disclaimer_Assumptions'!$B$33</f>
        <v/>
      </c>
      <c r="L44" s="31">
        <f>SUM(B44:K44)</f>
        <v/>
      </c>
      <c r="M44" s="31">
        <f>NPV('S01_Disclaimer_Assumptions'!$B$15,B44:K44)</f>
        <v/>
      </c>
    </row>
    <row r="46" ht="18" customHeight="1">
      <c r="A46" s="58" t="inlineStr">
        <is>
          <t>TOTAL COST OF OWNERSHIP SUMMARY</t>
        </is>
      </c>
    </row>
    <row r="47" ht="30" customHeight="1">
      <c r="A47" s="54" t="inlineStr">
        <is>
          <t>Supplier</t>
        </is>
      </c>
      <c r="B47" s="54" t="inlineStr">
        <is>
          <t>Y1</t>
        </is>
      </c>
      <c r="C47" s="54" t="inlineStr">
        <is>
          <t>Y2</t>
        </is>
      </c>
      <c r="D47" s="54" t="inlineStr">
        <is>
          <t>Y3</t>
        </is>
      </c>
      <c r="E47" s="54" t="inlineStr">
        <is>
          <t>Y4</t>
        </is>
      </c>
      <c r="F47" s="54" t="inlineStr">
        <is>
          <t>Y5</t>
        </is>
      </c>
      <c r="G47" s="54" t="inlineStr">
        <is>
          <t>Y6</t>
        </is>
      </c>
      <c r="H47" s="54" t="inlineStr">
        <is>
          <t>Y7</t>
        </is>
      </c>
      <c r="I47" s="54" t="inlineStr">
        <is>
          <t>Y8</t>
        </is>
      </c>
      <c r="J47" s="54" t="inlineStr">
        <is>
          <t>Y9</t>
        </is>
      </c>
      <c r="K47" s="54" t="inlineStr">
        <is>
          <t>Y10</t>
        </is>
      </c>
      <c r="L47" s="54" t="inlineStr">
        <is>
          <t>10-Yr Total</t>
        </is>
      </c>
      <c r="M47" s="54" t="inlineStr">
        <is>
          <t>NPV (10-Yr)</t>
        </is>
      </c>
    </row>
    <row r="48">
      <c r="A48" s="6" t="inlineStr">
        <is>
          <t>A (Premium)</t>
        </is>
      </c>
      <c r="B48" s="31">
        <f>B28+B31+B34+B37+B40+B43</f>
        <v/>
      </c>
      <c r="C48" s="31">
        <f>C28+C31+C34+C37+C40+C43</f>
        <v/>
      </c>
      <c r="D48" s="31">
        <f>D28+D31+D34+D37+D40+D43</f>
        <v/>
      </c>
      <c r="E48" s="31">
        <f>E28+E31+E34+E37+E40+E43</f>
        <v/>
      </c>
      <c r="F48" s="31">
        <f>F28+F31+F34+F37+F40+F43</f>
        <v/>
      </c>
      <c r="G48" s="31">
        <f>G28+G31+G34+G37+G40+G43</f>
        <v/>
      </c>
      <c r="H48" s="31">
        <f>H28+H31+H34+H37+H40+H43</f>
        <v/>
      </c>
      <c r="I48" s="31">
        <f>I28+I31+I34+I37+I40+I43</f>
        <v/>
      </c>
      <c r="J48" s="31">
        <f>J28+J31+J34+J37+J40+J43</f>
        <v/>
      </c>
      <c r="K48" s="31">
        <f>K28+K31+K34+K37+K40+K43</f>
        <v/>
      </c>
      <c r="L48" s="31">
        <f>SUM(B48:K48)</f>
        <v/>
      </c>
      <c r="M48" s="31">
        <f>NPV('S01_Disclaimer_Assumptions'!$B$15,B48:K48)</f>
        <v/>
      </c>
    </row>
    <row r="49">
      <c r="A49" s="6" t="inlineStr">
        <is>
          <t>B (Value)</t>
        </is>
      </c>
      <c r="B49" s="31">
        <f>B29+B32+B35+B38+B41+B44</f>
        <v/>
      </c>
      <c r="C49" s="31">
        <f>C29+C32+C35+C38+C41+C44</f>
        <v/>
      </c>
      <c r="D49" s="31">
        <f>D29+D32+D35+D38+D41+D44</f>
        <v/>
      </c>
      <c r="E49" s="31">
        <f>E29+E32+E35+E38+E41+E44</f>
        <v/>
      </c>
      <c r="F49" s="31">
        <f>F29+F32+F35+F38+F41+F44</f>
        <v/>
      </c>
      <c r="G49" s="31">
        <f>G29+G32+G35+G38+G41+G44</f>
        <v/>
      </c>
      <c r="H49" s="31">
        <f>H29+H32+H35+H38+H41+H44</f>
        <v/>
      </c>
      <c r="I49" s="31">
        <f>I29+I32+I35+I38+I41+I44</f>
        <v/>
      </c>
      <c r="J49" s="31">
        <f>J29+J32+J35+J38+J41+J44</f>
        <v/>
      </c>
      <c r="K49" s="31">
        <f>K29+K32+K35+K38+K41+K44</f>
        <v/>
      </c>
      <c r="L49" s="31">
        <f>SUM(B49:K49)</f>
        <v/>
      </c>
      <c r="M49" s="31">
        <f>NPV('S01_Disclaimer_Assumptions'!$B$15,B49:K49)</f>
        <v/>
      </c>
    </row>
    <row r="50">
      <c r="A50" s="56" t="inlineStr">
        <is>
          <t>TCO DELTA (B Savings vs A)</t>
        </is>
      </c>
      <c r="B50" s="57">
        <f>B48-B49</f>
        <v/>
      </c>
      <c r="C50" s="57">
        <f>C48-C49</f>
        <v/>
      </c>
      <c r="D50" s="57">
        <f>D48-D49</f>
        <v/>
      </c>
      <c r="E50" s="57">
        <f>E48-E49</f>
        <v/>
      </c>
      <c r="F50" s="57">
        <f>F48-F49</f>
        <v/>
      </c>
      <c r="G50" s="57">
        <f>G48-G49</f>
        <v/>
      </c>
      <c r="H50" s="57">
        <f>H48-H49</f>
        <v/>
      </c>
      <c r="I50" s="57">
        <f>I48-I49</f>
        <v/>
      </c>
      <c r="J50" s="57">
        <f>J48-J49</f>
        <v/>
      </c>
      <c r="K50" s="57">
        <f>K48-K49</f>
        <v/>
      </c>
      <c r="L50" s="68">
        <f>L48-L49</f>
        <v/>
      </c>
      <c r="M50" s="68">
        <f>M48-M49</f>
        <v/>
      </c>
    </row>
  </sheetData>
  <mergeCells count="12">
    <mergeCell ref="A4:B4"/>
    <mergeCell ref="A46:M46"/>
    <mergeCell ref="A36:M36"/>
    <mergeCell ref="A1:M1"/>
    <mergeCell ref="A27:M27"/>
    <mergeCell ref="A33:M33"/>
    <mergeCell ref="A11:E11"/>
    <mergeCell ref="A30:M30"/>
    <mergeCell ref="A39:M39"/>
    <mergeCell ref="A25:M25"/>
    <mergeCell ref="A2:M2"/>
    <mergeCell ref="A42:M42"/>
  </mergeCells>
  <pageMargins left="0.75" right="0.75" top="1" bottom="1" header="0.5" footer="0.5"/>
</worksheet>
</file>

<file path=xl/worksheets/sheet10.xml><?xml version="1.0" encoding="utf-8"?>
<worksheet xmlns="http://schemas.openxmlformats.org/spreadsheetml/2006/main">
  <sheetPr>
    <tabColor rgb="002E7D32"/>
    <outlinePr summaryBelow="1" summaryRight="1"/>
    <pageSetUpPr/>
  </sheetPr>
  <dimension ref="A1:H66"/>
  <sheetViews>
    <sheetView workbookViewId="0">
      <pane ySplit="5" topLeftCell="A6" activePane="bottomLeft" state="frozen"/>
      <selection pane="bottomLeft" activeCell="A1" sqref="A1"/>
    </sheetView>
  </sheetViews>
  <sheetFormatPr baseColWidth="8" defaultRowHeight="15"/>
  <cols>
    <col width="8" customWidth="1" min="1" max="1"/>
    <col width="7" customWidth="1" min="2" max="2"/>
    <col width="48" customWidth="1" min="3" max="3"/>
    <col width="24" customWidth="1" min="4" max="4"/>
    <col width="12" customWidth="1" min="5" max="5"/>
    <col width="9" customWidth="1" min="6" max="6"/>
    <col width="8" customWidth="1" min="7" max="7"/>
    <col width="50" customWidth="1" min="8" max="8"/>
  </cols>
  <sheetData>
    <row r="1" ht="26" customHeight="1">
      <c r="A1" s="69" t="inlineStr">
        <is>
          <t>S06 — Work Breakdown Structure (WBS) — Greenfield Expansion Phase II</t>
        </is>
      </c>
    </row>
    <row r="2" ht="15" customHeight="1">
      <c r="A2" s="2" t="inlineStr">
        <is>
          <t>Program: Greenfield Expansion Phase II | Owner: Sourabh Tarodekar | Status: Active | All dates 2025 | WBS hierarchy: Level 1 = Program | Level 2 = Workstream | Level 3 = Work Package | WBS codes used as Activity IDs in S07_CPM_Master_Schedule</t>
        </is>
      </c>
    </row>
    <row r="4" ht="30" customHeight="1">
      <c r="A4" s="70" t="inlineStr">
        <is>
          <t>WBS Code</t>
        </is>
      </c>
      <c r="B4" s="70" t="inlineStr">
        <is>
          <t>Level</t>
        </is>
      </c>
      <c r="C4" s="70" t="inlineStr">
        <is>
          <t>Workstream / Work Package</t>
        </is>
      </c>
      <c r="D4" s="70" t="inlineStr">
        <is>
          <t>Responsible Function</t>
        </is>
      </c>
      <c r="E4" s="70" t="inlineStr">
        <is>
          <t>Duration Est (wks)</t>
        </is>
      </c>
      <c r="F4" s="70" t="inlineStr">
        <is>
          <t>Start Wk</t>
        </is>
      </c>
      <c r="G4" s="70" t="inlineStr">
        <is>
          <t>End Wk</t>
        </is>
      </c>
      <c r="H4" s="70" t="inlineStr">
        <is>
          <t>Deliverable / Exit Criterion</t>
        </is>
      </c>
    </row>
    <row r="5">
      <c r="A5" s="18" t="inlineStr">
        <is>
          <t>1.0</t>
        </is>
      </c>
      <c r="B5" s="18" t="n">
        <v>1</v>
      </c>
      <c r="C5" s="71" t="inlineStr">
        <is>
          <t>GREENFIELD EXPANSION PHASE II — PROGRAM</t>
        </is>
      </c>
      <c r="D5" s="18" t="inlineStr">
        <is>
          <t>Program Management</t>
        </is>
      </c>
      <c r="E5" s="18" t="n">
        <v>46</v>
      </c>
      <c r="F5" s="18" t="n">
        <v>1</v>
      </c>
      <c r="G5" s="18" t="n">
        <v>46</v>
      </c>
      <c r="H5" s="72" t="inlineStr">
        <is>
          <t>Full program from AR approval to production release</t>
        </is>
      </c>
    </row>
    <row r="6">
      <c r="A6" s="18" t="inlineStr">
        <is>
          <t>1.1</t>
        </is>
      </c>
      <c r="B6" s="18" t="n">
        <v>2</v>
      </c>
      <c r="C6" s="71" t="inlineStr">
        <is>
          <t xml:space="preserve">    PROGRAM MANAGEMENT</t>
        </is>
      </c>
      <c r="D6" s="18" t="inlineStr">
        <is>
          <t>Program Management</t>
        </is>
      </c>
      <c r="E6" s="18" t="n">
        <v>46</v>
      </c>
      <c r="F6" s="18" t="n">
        <v>1</v>
      </c>
      <c r="G6" s="18" t="n">
        <v>46</v>
      </c>
      <c r="H6" s="72" t="inlineStr">
        <is>
          <t>Program governance and control</t>
        </is>
      </c>
    </row>
    <row r="7">
      <c r="A7" s="6" t="inlineStr">
        <is>
          <t>1.1.1</t>
        </is>
      </c>
      <c r="B7" s="6" t="n">
        <v>3</v>
      </c>
      <c r="C7" s="6" t="inlineStr">
        <is>
          <t xml:space="preserve">        Program kick-off &amp; AR execution</t>
        </is>
      </c>
      <c r="D7" s="6" t="inlineStr">
        <is>
          <t>PM / Finance</t>
        </is>
      </c>
      <c r="E7" s="6" t="n">
        <v>1</v>
      </c>
      <c r="F7" s="6" t="n">
        <v>1</v>
      </c>
      <c r="G7" s="6" t="n">
        <v>1</v>
      </c>
      <c r="H7" s="8" t="inlineStr">
        <is>
          <t>AR signed, cost centre open, PO authority issued</t>
        </is>
      </c>
    </row>
    <row r="8">
      <c r="A8" s="6" t="inlineStr">
        <is>
          <t>1.1.2</t>
        </is>
      </c>
      <c r="B8" s="6" t="n">
        <v>3</v>
      </c>
      <c r="C8" s="6" t="inlineStr">
        <is>
          <t xml:space="preserve">        Stakeholder communication plan</t>
        </is>
      </c>
      <c r="D8" s="6" t="inlineStr">
        <is>
          <t>PM / Eng Leadership</t>
        </is>
      </c>
      <c r="E8" s="6" t="n">
        <v>1</v>
      </c>
      <c r="F8" s="6" t="n">
        <v>1</v>
      </c>
      <c r="G8" s="6" t="n">
        <v>2</v>
      </c>
      <c r="H8" s="8" t="inlineStr">
        <is>
          <t>RACI matrix, communication cadence agreed</t>
        </is>
      </c>
    </row>
    <row r="9">
      <c r="A9" s="6" t="inlineStr">
        <is>
          <t>1.1.3</t>
        </is>
      </c>
      <c r="B9" s="6" t="n">
        <v>3</v>
      </c>
      <c r="C9" s="6" t="inlineStr">
        <is>
          <t xml:space="preserve">        Program schedule baseline</t>
        </is>
      </c>
      <c r="D9" s="6" t="inlineStr">
        <is>
          <t>PM / Scheduling</t>
        </is>
      </c>
      <c r="E9" s="6" t="n">
        <v>1</v>
      </c>
      <c r="F9" s="6" t="n">
        <v>1</v>
      </c>
      <c r="G9" s="6" t="n">
        <v>2</v>
      </c>
      <c r="H9" s="8" t="inlineStr">
        <is>
          <t>CPM schedule issued, baseline locked</t>
        </is>
      </c>
    </row>
    <row r="10">
      <c r="A10" s="6" t="inlineStr">
        <is>
          <t>1.1.4</t>
        </is>
      </c>
      <c r="B10" s="6" t="n">
        <v>3</v>
      </c>
      <c r="C10" s="6" t="inlineStr">
        <is>
          <t xml:space="preserve">        Weekly program review cadence</t>
        </is>
      </c>
      <c r="D10" s="6" t="inlineStr">
        <is>
          <t>PM</t>
        </is>
      </c>
      <c r="E10" s="6" t="n">
        <v>45</v>
      </c>
      <c r="F10" s="6" t="n">
        <v>2</v>
      </c>
      <c r="G10" s="6" t="n">
        <v>46</v>
      </c>
      <c r="H10" s="8" t="inlineStr">
        <is>
          <t>Weekly status reports issued throughout program</t>
        </is>
      </c>
    </row>
    <row r="11">
      <c r="A11" s="6" t="inlineStr">
        <is>
          <t>1.1.5</t>
        </is>
      </c>
      <c r="B11" s="6" t="n">
        <v>3</v>
      </c>
      <c r="C11" s="6" t="inlineStr">
        <is>
          <t xml:space="preserve">        Lessons learned &amp; close-out report</t>
        </is>
      </c>
      <c r="D11" s="6" t="inlineStr">
        <is>
          <t>PM</t>
        </is>
      </c>
      <c r="E11" s="6" t="n">
        <v>1</v>
      </c>
      <c r="F11" s="6" t="n">
        <v>46</v>
      </c>
      <c r="G11" s="6" t="n">
        <v>46</v>
      </c>
      <c r="H11" s="8" t="inlineStr">
        <is>
          <t>Program close-out document issued</t>
        </is>
      </c>
    </row>
    <row r="12">
      <c r="A12" s="18" t="inlineStr">
        <is>
          <t>1.2</t>
        </is>
      </c>
      <c r="B12" s="18" t="n">
        <v>2</v>
      </c>
      <c r="C12" s="71" t="inlineStr">
        <is>
          <t xml:space="preserve">    SOURCING &amp; PROCUREMENT</t>
        </is>
      </c>
      <c r="D12" s="18" t="inlineStr">
        <is>
          <t>Supply Chain / Sourcing</t>
        </is>
      </c>
      <c r="E12" s="18" t="n">
        <v>14</v>
      </c>
      <c r="F12" s="18" t="n">
        <v>1</v>
      </c>
      <c r="G12" s="18" t="n">
        <v>14</v>
      </c>
      <c r="H12" s="72" t="inlineStr">
        <is>
          <t>All long-lead POs placed; contracts executed</t>
        </is>
      </c>
    </row>
    <row r="13">
      <c r="A13" s="6" t="inlineStr">
        <is>
          <t>1.2.1</t>
        </is>
      </c>
      <c r="B13" s="6" t="n">
        <v>3</v>
      </c>
      <c r="C13" s="6" t="inlineStr">
        <is>
          <t xml:space="preserve">        RFQ issue — long-lead equipment (EQ-002,004,008,014)</t>
        </is>
      </c>
      <c r="D13" s="6" t="inlineStr">
        <is>
          <t>Sourcing</t>
        </is>
      </c>
      <c r="E13" s="6" t="n">
        <v>1</v>
      </c>
      <c r="F13" s="6" t="n">
        <v>1</v>
      </c>
      <c r="G13" s="6" t="n">
        <v>1</v>
      </c>
      <c r="H13" s="8" t="inlineStr">
        <is>
          <t>RFQs issued to shortlisted suppliers</t>
        </is>
      </c>
    </row>
    <row r="14">
      <c r="A14" s="6" t="inlineStr">
        <is>
          <t>1.2.2</t>
        </is>
      </c>
      <c r="B14" s="6" t="n">
        <v>3</v>
      </c>
      <c r="C14" s="6" t="inlineStr">
        <is>
          <t xml:space="preserve">        Supplier commercial evaluation &amp; BAFO</t>
        </is>
      </c>
      <c r="D14" s="6" t="inlineStr">
        <is>
          <t>Sourcing</t>
        </is>
      </c>
      <c r="E14" s="6" t="n">
        <v>2</v>
      </c>
      <c r="F14" s="6" t="n">
        <v>1</v>
      </c>
      <c r="G14" s="6" t="n">
        <v>3</v>
      </c>
      <c r="H14" s="8" t="inlineStr">
        <is>
          <t>Bid tabulations complete; BAFO received</t>
        </is>
      </c>
    </row>
    <row r="15">
      <c r="A15" s="6" t="inlineStr">
        <is>
          <t>1.2.3</t>
        </is>
      </c>
      <c r="B15" s="6" t="n">
        <v>3</v>
      </c>
      <c r="C15" s="6" t="inlineStr">
        <is>
          <t xml:space="preserve">        Negotiation &amp; contract award — EQ-014 (AMAT RTP)</t>
        </is>
      </c>
      <c r="D15" s="6" t="inlineStr">
        <is>
          <t>Sourcing / Legal</t>
        </is>
      </c>
      <c r="E15" s="6" t="n">
        <v>2</v>
      </c>
      <c r="F15" s="6" t="n">
        <v>2</v>
      </c>
      <c r="G15" s="6" t="n">
        <v>4</v>
      </c>
      <c r="H15" s="8" t="inlineStr">
        <is>
          <t>PO issued; 30% deposit paid</t>
        </is>
      </c>
    </row>
    <row r="16">
      <c r="A16" s="6" t="inlineStr">
        <is>
          <t>1.2.4</t>
        </is>
      </c>
      <c r="B16" s="6" t="n">
        <v>3</v>
      </c>
      <c r="C16" s="6" t="inlineStr">
        <is>
          <t xml:space="preserve">        Negotiation &amp; contract award — EQ-002 (Pfeiffer TMP)</t>
        </is>
      </c>
      <c r="D16" s="6" t="inlineStr">
        <is>
          <t>Sourcing / Legal</t>
        </is>
      </c>
      <c r="E16" s="6" t="n">
        <v>2</v>
      </c>
      <c r="F16" s="6" t="n">
        <v>2</v>
      </c>
      <c r="G16" s="6" t="n">
        <v>4</v>
      </c>
      <c r="H16" s="8" t="inlineStr">
        <is>
          <t>PO issued; FX hedge confirmed</t>
        </is>
      </c>
    </row>
    <row r="17">
      <c r="A17" s="6" t="inlineStr">
        <is>
          <t>1.2.5</t>
        </is>
      </c>
      <c r="B17" s="6" t="n">
        <v>3</v>
      </c>
      <c r="C17" s="6" t="inlineStr">
        <is>
          <t xml:space="preserve">        Negotiation &amp; contract award — EQ-004 (TEL Furnace)</t>
        </is>
      </c>
      <c r="D17" s="6" t="inlineStr">
        <is>
          <t>Sourcing / Legal</t>
        </is>
      </c>
      <c r="E17" s="6" t="n">
        <v>2</v>
      </c>
      <c r="F17" s="6" t="n">
        <v>2</v>
      </c>
      <c r="G17" s="6" t="n">
        <v>4</v>
      </c>
      <c r="H17" s="8" t="inlineStr">
        <is>
          <t>PO issued; JPY hedge executed</t>
        </is>
      </c>
    </row>
    <row r="18">
      <c r="A18" s="6" t="inlineStr">
        <is>
          <t>1.2.6</t>
        </is>
      </c>
      <c r="B18" s="6" t="n">
        <v>3</v>
      </c>
      <c r="C18" s="6" t="inlineStr">
        <is>
          <t xml:space="preserve">        Negotiation &amp; contract award — remaining equipment</t>
        </is>
      </c>
      <c r="D18" s="6" t="inlineStr">
        <is>
          <t>Sourcing</t>
        </is>
      </c>
      <c r="E18" s="6" t="n">
        <v>2</v>
      </c>
      <c r="F18" s="6" t="n">
        <v>3</v>
      </c>
      <c r="G18" s="6" t="n">
        <v>5</v>
      </c>
      <c r="H18" s="8" t="inlineStr">
        <is>
          <t>All remaining POs placed</t>
        </is>
      </c>
    </row>
    <row r="19">
      <c r="A19" s="6" t="inlineStr">
        <is>
          <t>1.2.7</t>
        </is>
      </c>
      <c r="B19" s="6" t="n">
        <v>3</v>
      </c>
      <c r="C19" s="6" t="inlineStr">
        <is>
          <t xml:space="preserve">        FX forward contract execution — EUR &amp; JPY</t>
        </is>
      </c>
      <c r="D19" s="6" t="inlineStr">
        <is>
          <t>Finance / Treasury</t>
        </is>
      </c>
      <c r="E19" s="6" t="n">
        <v>1</v>
      </c>
      <c r="F19" s="6" t="n">
        <v>3</v>
      </c>
      <c r="G19" s="6" t="n">
        <v>4</v>
      </c>
      <c r="H19" s="8" t="inlineStr">
        <is>
          <t>Hedge contracts in place before PO placement</t>
        </is>
      </c>
    </row>
    <row r="20">
      <c r="A20" s="6" t="inlineStr">
        <is>
          <t>1.2.8</t>
        </is>
      </c>
      <c r="B20" s="6" t="n">
        <v>3</v>
      </c>
      <c r="C20" s="6" t="inlineStr">
        <is>
          <t xml:space="preserve">        Import/export documentation package</t>
        </is>
      </c>
      <c r="D20" s="6" t="inlineStr">
        <is>
          <t>Logistics / Trade Compliance</t>
        </is>
      </c>
      <c r="E20" s="6" t="n">
        <v>2</v>
      </c>
      <c r="F20" s="6" t="n">
        <v>4</v>
      </c>
      <c r="G20" s="6" t="n">
        <v>6</v>
      </c>
      <c r="H20" s="8" t="inlineStr">
        <is>
          <t>HS codes filed; import bonds arranged</t>
        </is>
      </c>
    </row>
    <row r="21">
      <c r="A21" s="6" t="inlineStr">
        <is>
          <t>1.2.9</t>
        </is>
      </c>
      <c r="B21" s="6" t="n">
        <v>3</v>
      </c>
      <c r="C21" s="6" t="inlineStr">
        <is>
          <t xml:space="preserve">        Shimadzu alt-source qualification initiation (EQ-002)</t>
        </is>
      </c>
      <c r="D21" s="6" t="inlineStr">
        <is>
          <t>Sourcing / Engineering</t>
        </is>
      </c>
      <c r="E21" s="6" t="n">
        <v>8</v>
      </c>
      <c r="F21" s="6" t="n">
        <v>4</v>
      </c>
      <c r="G21" s="6" t="n">
        <v>12</v>
      </c>
      <c r="H21" s="8" t="inlineStr">
        <is>
          <t>Alt vendor qual program started; TMP-3203L under test</t>
        </is>
      </c>
    </row>
    <row r="22">
      <c r="A22" s="18" t="inlineStr">
        <is>
          <t>1.3</t>
        </is>
      </c>
      <c r="B22" s="18" t="n">
        <v>2</v>
      </c>
      <c r="C22" s="71" t="inlineStr">
        <is>
          <t xml:space="preserve">    ENGINEERING</t>
        </is>
      </c>
      <c r="D22" s="18" t="inlineStr">
        <is>
          <t>Engineering / Process</t>
        </is>
      </c>
      <c r="E22" s="18" t="n">
        <v>20</v>
      </c>
      <c r="F22" s="18" t="n">
        <v>1</v>
      </c>
      <c r="G22" s="18" t="n">
        <v>20</v>
      </c>
      <c r="H22" s="72" t="inlineStr">
        <is>
          <t>Design freeze; FAT specifications issued</t>
        </is>
      </c>
    </row>
    <row r="23">
      <c r="A23" s="6" t="inlineStr">
        <is>
          <t>1.3.1</t>
        </is>
      </c>
      <c r="B23" s="6" t="n">
        <v>3</v>
      </c>
      <c r="C23" s="6" t="inlineStr">
        <is>
          <t xml:space="preserve">        Equipment technical specification review</t>
        </is>
      </c>
      <c r="D23" s="6" t="inlineStr">
        <is>
          <t>Process / Mech Eng</t>
        </is>
      </c>
      <c r="E23" s="6" t="n">
        <v>2</v>
      </c>
      <c r="F23" s="6" t="n">
        <v>1</v>
      </c>
      <c r="G23" s="6" t="n">
        <v>3</v>
      </c>
      <c r="H23" s="8" t="inlineStr">
        <is>
          <t>Supplier specs signed off; deviation log issued</t>
        </is>
      </c>
    </row>
    <row r="24">
      <c r="A24" s="6" t="inlineStr">
        <is>
          <t>1.3.2</t>
        </is>
      </c>
      <c r="B24" s="6" t="n">
        <v>3</v>
      </c>
      <c r="C24" s="6" t="inlineStr">
        <is>
          <t xml:space="preserve">        FAT protocol development — all equipment</t>
        </is>
      </c>
      <c r="D24" s="6" t="inlineStr">
        <is>
          <t>Process Engineering</t>
        </is>
      </c>
      <c r="E24" s="6" t="n">
        <v>3</v>
      </c>
      <c r="F24" s="6" t="n">
        <v>2</v>
      </c>
      <c r="G24" s="6" t="n">
        <v>5</v>
      </c>
      <c r="H24" s="8" t="inlineStr">
        <is>
          <t>FAT protocols issued; supplier acceptance</t>
        </is>
      </c>
    </row>
    <row r="25">
      <c r="A25" s="6" t="inlineStr">
        <is>
          <t>1.3.3</t>
        </is>
      </c>
      <c r="B25" s="6" t="n">
        <v>3</v>
      </c>
      <c r="C25" s="6" t="inlineStr">
        <is>
          <t xml:space="preserve">        Utility design package — electrical, gas, cooling</t>
        </is>
      </c>
      <c r="D25" s="6" t="inlineStr">
        <is>
          <t>Facilities Engineering</t>
        </is>
      </c>
      <c r="E25" s="6" t="n">
        <v>4</v>
      </c>
      <c r="F25" s="6" t="n">
        <v>2</v>
      </c>
      <c r="G25" s="6" t="n">
        <v>6</v>
      </c>
      <c r="H25" s="8" t="inlineStr">
        <is>
          <t>Utility design drawings issued for civil/mech</t>
        </is>
      </c>
    </row>
    <row r="26">
      <c r="A26" s="6" t="inlineStr">
        <is>
          <t>1.3.4</t>
        </is>
      </c>
      <c r="B26" s="6" t="n">
        <v>3</v>
      </c>
      <c r="C26" s="6" t="inlineStr">
        <is>
          <t xml:space="preserve">        Site layout &amp; equipment placement plan</t>
        </is>
      </c>
      <c r="D26" s="6" t="inlineStr">
        <is>
          <t>Facilities / Mech Eng</t>
        </is>
      </c>
      <c r="E26" s="6" t="n">
        <v>3</v>
      </c>
      <c r="F26" s="6" t="n">
        <v>3</v>
      </c>
      <c r="G26" s="6" t="n">
        <v>6</v>
      </c>
      <c r="H26" s="8" t="inlineStr">
        <is>
          <t>Final floor plan approved; civil works can start</t>
        </is>
      </c>
    </row>
    <row r="27">
      <c r="A27" s="6" t="inlineStr">
        <is>
          <t>1.3.5</t>
        </is>
      </c>
      <c r="B27" s="6" t="n">
        <v>3</v>
      </c>
      <c r="C27" s="6" t="inlineStr">
        <is>
          <t xml:space="preserve">        Integration spec — MES/SCADA/DCS</t>
        </is>
      </c>
      <c r="D27" s="6" t="inlineStr">
        <is>
          <t>Controls / IT-OT</t>
        </is>
      </c>
      <c r="E27" s="6" t="n">
        <v>4</v>
      </c>
      <c r="F27" s="6" t="n">
        <v>3</v>
      </c>
      <c r="G27" s="6" t="n">
        <v>7</v>
      </c>
      <c r="H27" s="8" t="inlineStr">
        <is>
          <t>Integration design spec issued and approved</t>
        </is>
      </c>
    </row>
    <row r="28">
      <c r="A28" s="6" t="inlineStr">
        <is>
          <t>1.3.6</t>
        </is>
      </c>
      <c r="B28" s="6" t="n">
        <v>3</v>
      </c>
      <c r="C28" s="6" t="inlineStr">
        <is>
          <t xml:space="preserve">        Process recipe transfer — TEL EQ-004</t>
        </is>
      </c>
      <c r="D28" s="6" t="inlineStr">
        <is>
          <t>Process Engineering / TEL</t>
        </is>
      </c>
      <c r="E28" s="6" t="n">
        <v>3</v>
      </c>
      <c r="F28" s="6" t="n">
        <v>5</v>
      </c>
      <c r="G28" s="6" t="n">
        <v>8</v>
      </c>
      <c r="H28" s="8" t="inlineStr">
        <is>
          <t>Contractual recipe transfer clause executed; recipes received</t>
        </is>
      </c>
    </row>
    <row r="29">
      <c r="A29" s="6" t="inlineStr">
        <is>
          <t>1.3.7</t>
        </is>
      </c>
      <c r="B29" s="6" t="n">
        <v>3</v>
      </c>
      <c r="C29" s="6" t="inlineStr">
        <is>
          <t xml:space="preserve">        Cybersecurity review — Siemens DCS</t>
        </is>
      </c>
      <c r="D29" s="6" t="inlineStr">
        <is>
          <t>InfoSec / Engineering</t>
        </is>
      </c>
      <c r="E29" s="6" t="n">
        <v>3</v>
      </c>
      <c r="F29" s="6" t="n">
        <v>5</v>
      </c>
      <c r="G29" s="6" t="n">
        <v>8</v>
      </c>
      <c r="H29" s="8" t="inlineStr">
        <is>
          <t>Cybersecurity approval issued for OT network connection</t>
        </is>
      </c>
    </row>
    <row r="30">
      <c r="A30" s="6" t="inlineStr">
        <is>
          <t>1.3.8</t>
        </is>
      </c>
      <c r="B30" s="6" t="n">
        <v>3</v>
      </c>
      <c r="C30" s="6" t="inlineStr">
        <is>
          <t xml:space="preserve">        Engineering change order management</t>
        </is>
      </c>
      <c r="D30" s="6" t="inlineStr">
        <is>
          <t>Engineering</t>
        </is>
      </c>
      <c r="E30" s="6" t="inlineStr">
        <is>
          <t>ongoing</t>
        </is>
      </c>
      <c r="F30" s="6" t="n">
        <v>1</v>
      </c>
      <c r="G30" s="6" t="n">
        <v>46</v>
      </c>
      <c r="H30" s="8" t="inlineStr">
        <is>
          <t>ECO register maintained throughout program</t>
        </is>
      </c>
    </row>
    <row r="31">
      <c r="A31" s="18" t="inlineStr">
        <is>
          <t>1.4</t>
        </is>
      </c>
      <c r="B31" s="18" t="n">
        <v>2</v>
      </c>
      <c r="C31" s="71" t="inlineStr">
        <is>
          <t xml:space="preserve">    SUPPLIER FABRICATION &amp; FAT</t>
        </is>
      </c>
      <c r="D31" s="18" t="inlineStr">
        <is>
          <t>Supply Chain / Engineering</t>
        </is>
      </c>
      <c r="E31" s="18" t="n">
        <v>26</v>
      </c>
      <c r="F31" s="18" t="n">
        <v>1</v>
      </c>
      <c r="G31" s="18" t="n">
        <v>27</v>
      </c>
      <c r="H31" s="72" t="inlineStr">
        <is>
          <t>All equipment at FAT complete; ready to ship</t>
        </is>
      </c>
    </row>
    <row r="32">
      <c r="A32" s="6" t="inlineStr">
        <is>
          <t>1.4.1</t>
        </is>
      </c>
      <c r="B32" s="6" t="n">
        <v>3</v>
      </c>
      <c r="C32" s="6" t="inlineStr">
        <is>
          <t xml:space="preserve">        EQ-014 (AMAT RTP) — manufacturing &amp; FAT</t>
        </is>
      </c>
      <c r="D32" s="6" t="inlineStr">
        <is>
          <t>AMAT / Engineering</t>
        </is>
      </c>
      <c r="E32" s="6" t="n">
        <v>24</v>
      </c>
      <c r="F32" s="6" t="n">
        <v>1</v>
      </c>
      <c r="G32" s="6" t="n">
        <v>25</v>
      </c>
      <c r="H32" s="8" t="inlineStr">
        <is>
          <t>RTP units pass FAT; shipping released</t>
        </is>
      </c>
    </row>
    <row r="33">
      <c r="A33" s="6" t="inlineStr">
        <is>
          <t>1.4.2</t>
        </is>
      </c>
      <c r="B33" s="6" t="n">
        <v>3</v>
      </c>
      <c r="C33" s="6" t="inlineStr">
        <is>
          <t xml:space="preserve">        EQ-002 (Pfeiffer TMP) — manufacturing &amp; FAT [CRITICAL PATH]</t>
        </is>
      </c>
      <c r="D33" s="6" t="inlineStr">
        <is>
          <t>Pfeiffer / Engineering</t>
        </is>
      </c>
      <c r="E33" s="6" t="n">
        <v>26</v>
      </c>
      <c r="F33" s="6" t="n">
        <v>1</v>
      </c>
      <c r="G33" s="6" t="n">
        <v>27</v>
      </c>
      <c r="H33" s="8" t="inlineStr">
        <is>
          <t>CRITICAL PATH: TMPs pass FAT; shipping released</t>
        </is>
      </c>
    </row>
    <row r="34">
      <c r="A34" s="6" t="inlineStr">
        <is>
          <t>1.4.3</t>
        </is>
      </c>
      <c r="B34" s="6" t="n">
        <v>3</v>
      </c>
      <c r="C34" s="6" t="inlineStr">
        <is>
          <t xml:space="preserve">        EQ-004 (TEL Batch Furnace) — manufacturing &amp; FAT</t>
        </is>
      </c>
      <c r="D34" s="6" t="inlineStr">
        <is>
          <t>TEL / Engineering</t>
        </is>
      </c>
      <c r="E34" s="6" t="n">
        <v>28</v>
      </c>
      <c r="F34" s="6" t="n">
        <v>1</v>
      </c>
      <c r="G34" s="6" t="n">
        <v>29</v>
      </c>
      <c r="H34" s="8" t="inlineStr">
        <is>
          <t>Batch furnace FAT complete; JPY invoice settled</t>
        </is>
      </c>
    </row>
    <row r="35">
      <c r="A35" s="6" t="inlineStr">
        <is>
          <t>1.4.4</t>
        </is>
      </c>
      <c r="B35" s="6" t="n">
        <v>3</v>
      </c>
      <c r="C35" s="6" t="inlineStr">
        <is>
          <t xml:space="preserve">        EQ-003 (Thermco Tube Furnace) — manufacturing &amp; FAT</t>
        </is>
      </c>
      <c r="D35" s="6" t="inlineStr">
        <is>
          <t>Thermco / Engineering</t>
        </is>
      </c>
      <c r="E35" s="6" t="n">
        <v>20</v>
      </c>
      <c r="F35" s="6" t="n">
        <v>2</v>
      </c>
      <c r="G35" s="6" t="n">
        <v>22</v>
      </c>
      <c r="H35" s="8" t="inlineStr">
        <is>
          <t>Tube furnace FAT at Austin TX; recipe transfer</t>
        </is>
      </c>
    </row>
    <row r="36">
      <c r="A36" s="6" t="inlineStr">
        <is>
          <t>1.4.5</t>
        </is>
      </c>
      <c r="B36" s="6" t="n">
        <v>3</v>
      </c>
      <c r="C36" s="6" t="inlineStr">
        <is>
          <t xml:space="preserve">        EQ-005 (Brooks SCARA) — manufacturing &amp; FAT</t>
        </is>
      </c>
      <c r="D36" s="6" t="inlineStr">
        <is>
          <t>Brooks / Engineering</t>
        </is>
      </c>
      <c r="E36" s="6" t="n">
        <v>14</v>
      </c>
      <c r="F36" s="6" t="n">
        <v>3</v>
      </c>
      <c r="G36" s="6" t="n">
        <v>17</v>
      </c>
      <c r="H36" s="8" t="inlineStr">
        <is>
          <t>Robot units FAT complete; MES integration tested</t>
        </is>
      </c>
    </row>
    <row r="37">
      <c r="A37" s="6" t="inlineStr">
        <is>
          <t>1.4.6</t>
        </is>
      </c>
      <c r="B37" s="6" t="n">
        <v>3</v>
      </c>
      <c r="C37" s="6" t="inlineStr">
        <is>
          <t xml:space="preserve">        EQ-008 (Linde Bulk Gas) — manufacturing</t>
        </is>
      </c>
      <c r="D37" s="6" t="inlineStr">
        <is>
          <t>Linde / Facilities</t>
        </is>
      </c>
      <c r="E37" s="6" t="n">
        <v>32</v>
      </c>
      <c r="F37" s="6" t="n">
        <v>1</v>
      </c>
      <c r="G37" s="6" t="n">
        <v>33</v>
      </c>
      <c r="H37" s="8" t="inlineStr">
        <is>
          <t>Longest LT: bulk vessel shipped on schedule</t>
        </is>
      </c>
    </row>
    <row r="38">
      <c r="A38" s="6" t="inlineStr">
        <is>
          <t>1.4.7</t>
        </is>
      </c>
      <c r="B38" s="6" t="n">
        <v>3</v>
      </c>
      <c r="C38" s="6" t="inlineStr">
        <is>
          <t xml:space="preserve">        Remaining equipment — manufacturing &amp; FAT</t>
        </is>
      </c>
      <c r="D38" s="6" t="inlineStr">
        <is>
          <t>Various suppliers</t>
        </is>
      </c>
      <c r="E38" s="6" t="inlineStr">
        <is>
          <t>10-18</t>
        </is>
      </c>
      <c r="F38" s="6" t="n">
        <v>2</v>
      </c>
      <c r="G38" s="6" t="n">
        <v>20</v>
      </c>
      <c r="H38" s="8" t="inlineStr">
        <is>
          <t>All units pass FAT; no open NCRs</t>
        </is>
      </c>
    </row>
    <row r="39">
      <c r="A39" s="18" t="inlineStr">
        <is>
          <t>1.5</t>
        </is>
      </c>
      <c r="B39" s="18" t="n">
        <v>2</v>
      </c>
      <c r="C39" s="71" t="inlineStr">
        <is>
          <t xml:space="preserve">    LOGISTICS</t>
        </is>
      </c>
      <c r="D39" s="18" t="inlineStr">
        <is>
          <t>Supply Chain / Logistics</t>
        </is>
      </c>
      <c r="E39" s="18" t="n">
        <v>8</v>
      </c>
      <c r="F39" s="18" t="n">
        <v>15</v>
      </c>
      <c r="G39" s="18" t="n">
        <v>28</v>
      </c>
      <c r="H39" s="72" t="inlineStr">
        <is>
          <t>All equipment delivered to site; no customs holds</t>
        </is>
      </c>
    </row>
    <row r="40">
      <c r="A40" s="6" t="inlineStr">
        <is>
          <t>1.5.1</t>
        </is>
      </c>
      <c r="B40" s="6" t="n">
        <v>3</v>
      </c>
      <c r="C40" s="6" t="inlineStr">
        <is>
          <t xml:space="preserve">        International freight booking — JPY equipment</t>
        </is>
      </c>
      <c r="D40" s="6" t="inlineStr">
        <is>
          <t>Logistics</t>
        </is>
      </c>
      <c r="E40" s="6" t="n">
        <v>2</v>
      </c>
      <c r="F40" s="6" t="n">
        <v>15</v>
      </c>
      <c r="G40" s="6" t="n">
        <v>17</v>
      </c>
      <c r="H40" s="8" t="inlineStr">
        <is>
          <t>TEL, Daikin, Daifuku freight booked; sea freight</t>
        </is>
      </c>
    </row>
    <row r="41">
      <c r="A41" s="6" t="inlineStr">
        <is>
          <t>1.5.2</t>
        </is>
      </c>
      <c r="B41" s="6" t="n">
        <v>3</v>
      </c>
      <c r="C41" s="6" t="inlineStr">
        <is>
          <t xml:space="preserve">        International freight booking — EUR equipment</t>
        </is>
      </c>
      <c r="D41" s="6" t="inlineStr">
        <is>
          <t>Logistics</t>
        </is>
      </c>
      <c r="E41" s="6" t="n">
        <v>2</v>
      </c>
      <c r="F41" s="6" t="n">
        <v>15</v>
      </c>
      <c r="G41" s="6" t="n">
        <v>17</v>
      </c>
      <c r="H41" s="8" t="inlineStr">
        <is>
          <t>EUR equipment freight arranged; road/air options</t>
        </is>
      </c>
    </row>
    <row r="42">
      <c r="A42" s="6" t="inlineStr">
        <is>
          <t>1.5.3</t>
        </is>
      </c>
      <c r="B42" s="6" t="n">
        <v>3</v>
      </c>
      <c r="C42" s="6" t="inlineStr">
        <is>
          <t xml:space="preserve">        Customs clearance — all international equipment</t>
        </is>
      </c>
      <c r="D42" s="6" t="inlineStr">
        <is>
          <t>Trade Compliance</t>
        </is>
      </c>
      <c r="E42" s="6" t="n">
        <v>2</v>
      </c>
      <c r="F42" s="6" t="n">
        <v>17</v>
      </c>
      <c r="G42" s="6" t="n">
        <v>24</v>
      </c>
      <c r="H42" s="8" t="inlineStr">
        <is>
          <t>Customs cleared; duty paid; no holds</t>
        </is>
      </c>
    </row>
    <row r="43">
      <c r="A43" s="6" t="inlineStr">
        <is>
          <t>1.5.4</t>
        </is>
      </c>
      <c r="B43" s="6" t="n">
        <v>3</v>
      </c>
      <c r="C43" s="6" t="inlineStr">
        <is>
          <t xml:space="preserve">        Final delivery &amp; receipt inspection — site</t>
        </is>
      </c>
      <c r="D43" s="6" t="inlineStr">
        <is>
          <t>Logistics / Engineering</t>
        </is>
      </c>
      <c r="E43" s="6" t="n">
        <v>3</v>
      </c>
      <c r="F43" s="6" t="n">
        <v>18</v>
      </c>
      <c r="G43" s="6" t="n">
        <v>28</v>
      </c>
      <c r="H43" s="8" t="inlineStr">
        <is>
          <t>All equipment received, inspected; CRs raised if needed</t>
        </is>
      </c>
    </row>
    <row r="44">
      <c r="A44" s="18" t="inlineStr">
        <is>
          <t>1.6</t>
        </is>
      </c>
      <c r="B44" s="18" t="n">
        <v>2</v>
      </c>
      <c r="C44" s="71" t="inlineStr">
        <is>
          <t xml:space="preserve">    SITE READINESS</t>
        </is>
      </c>
      <c r="D44" s="18" t="inlineStr">
        <is>
          <t>Facilities / Civil</t>
        </is>
      </c>
      <c r="E44" s="18" t="n">
        <v>20</v>
      </c>
      <c r="F44" s="18" t="n">
        <v>1</v>
      </c>
      <c r="G44" s="18" t="n">
        <v>20</v>
      </c>
      <c r="H44" s="72" t="inlineStr">
        <is>
          <t>All utilities ready; floor loading confirmed; permits</t>
        </is>
      </c>
    </row>
    <row r="45">
      <c r="A45" s="6" t="inlineStr">
        <is>
          <t>1.6.1</t>
        </is>
      </c>
      <c r="B45" s="6" t="n">
        <v>3</v>
      </c>
      <c r="C45" s="6" t="inlineStr">
        <is>
          <t xml:space="preserve">        Structural floor reinforcement — EQ-004 zone</t>
        </is>
      </c>
      <c r="D45" s="6" t="inlineStr">
        <is>
          <t>Civil Engineering</t>
        </is>
      </c>
      <c r="E45" s="6" t="n">
        <v>6</v>
      </c>
      <c r="F45" s="6" t="n">
        <v>3</v>
      </c>
      <c r="G45" s="6" t="n">
        <v>9</v>
      </c>
      <c r="H45" s="8" t="inlineStr">
        <is>
          <t>Floor certified for 680kg/m² furnace load</t>
        </is>
      </c>
    </row>
    <row r="46">
      <c r="A46" s="6" t="inlineStr">
        <is>
          <t>1.6.2</t>
        </is>
      </c>
      <c r="B46" s="6" t="n">
        <v>3</v>
      </c>
      <c r="C46" s="6" t="inlineStr">
        <is>
          <t xml:space="preserve">        Electrical infrastructure — transformers &amp; feeds</t>
        </is>
      </c>
      <c r="D46" s="6" t="inlineStr">
        <is>
          <t>Electrical Engineering</t>
        </is>
      </c>
      <c r="E46" s="6" t="n">
        <v>10</v>
      </c>
      <c r="F46" s="6" t="n">
        <v>2</v>
      </c>
      <c r="G46" s="6" t="n">
        <v>12</v>
      </c>
      <c r="H46" s="8" t="inlineStr">
        <is>
          <t>480V feeds complete; EQ-011 energized</t>
        </is>
      </c>
    </row>
    <row r="47">
      <c r="A47" s="6" t="inlineStr">
        <is>
          <t>1.6.3</t>
        </is>
      </c>
      <c r="B47" s="6" t="n">
        <v>3</v>
      </c>
      <c r="C47" s="6" t="inlineStr">
        <is>
          <t xml:space="preserve">        Cooling loop installation — glycol system</t>
        </is>
      </c>
      <c r="D47" s="6" t="inlineStr">
        <is>
          <t>Mechanical Engineering</t>
        </is>
      </c>
      <c r="E47" s="6" t="n">
        <v>8</v>
      </c>
      <c r="F47" s="6" t="n">
        <v>4</v>
      </c>
      <c r="G47" s="6" t="n">
        <v>12</v>
      </c>
      <c r="H47" s="8" t="inlineStr">
        <is>
          <t>Glycol loop pressure-tested; chiller tie-in complete</t>
        </is>
      </c>
    </row>
    <row r="48">
      <c r="A48" s="6" t="inlineStr">
        <is>
          <t>1.6.4</t>
        </is>
      </c>
      <c r="B48" s="6" t="n">
        <v>3</v>
      </c>
      <c r="C48" s="6" t="inlineStr">
        <is>
          <t xml:space="preserve">        Gas system infrastructure — hazmat permit</t>
        </is>
      </c>
      <c r="D48" s="6" t="inlineStr">
        <is>
          <t>Facilities / Regulatory</t>
        </is>
      </c>
      <c r="E48" s="6" t="n">
        <v>12</v>
      </c>
      <c r="F48" s="6" t="n">
        <v>1</v>
      </c>
      <c r="G48" s="6" t="n">
        <v>13</v>
      </c>
      <c r="H48" s="8" t="inlineStr">
        <is>
          <t>Hazmat permit received; gas lines installed</t>
        </is>
      </c>
    </row>
    <row r="49">
      <c r="A49" s="6" t="inlineStr">
        <is>
          <t>1.6.5</t>
        </is>
      </c>
      <c r="B49" s="6" t="n">
        <v>3</v>
      </c>
      <c r="C49" s="6" t="inlineStr">
        <is>
          <t xml:space="preserve">        Wi-Fi infrastructure upgrade — AMR/OT network</t>
        </is>
      </c>
      <c r="D49" s="6" t="inlineStr">
        <is>
          <t>IT/OT Engineering</t>
        </is>
      </c>
      <c r="E49" s="6" t="n">
        <v>6</v>
      </c>
      <c r="F49" s="6" t="n">
        <v>6</v>
      </c>
      <c r="G49" s="6" t="n">
        <v>12</v>
      </c>
      <c r="H49" s="8" t="inlineStr">
        <is>
          <t>Wi-Fi survey complete; AP installed; throughput confirmed</t>
        </is>
      </c>
    </row>
    <row r="50">
      <c r="A50" s="6" t="inlineStr">
        <is>
          <t>1.6.6</t>
        </is>
      </c>
      <c r="B50" s="6" t="n">
        <v>3</v>
      </c>
      <c r="C50" s="6" t="inlineStr">
        <is>
          <t xml:space="preserve">        Clean room / ESD zone preparation</t>
        </is>
      </c>
      <c r="D50" s="6" t="inlineStr">
        <is>
          <t>Facilities</t>
        </is>
      </c>
      <c r="E50" s="6" t="n">
        <v>4</v>
      </c>
      <c r="F50" s="6" t="n">
        <v>8</v>
      </c>
      <c r="G50" s="6" t="n">
        <v>12</v>
      </c>
      <c r="H50" s="8" t="inlineStr">
        <is>
          <t>ESD flooring installed; HVAC certified; gown area ready</t>
        </is>
      </c>
    </row>
    <row r="51">
      <c r="A51" s="18" t="inlineStr">
        <is>
          <t>1.7</t>
        </is>
      </c>
      <c r="B51" s="18" t="n">
        <v>2</v>
      </c>
      <c r="C51" s="71" t="inlineStr">
        <is>
          <t xml:space="preserve">    INSTALLATION &amp; COMMISSIONING</t>
        </is>
      </c>
      <c r="D51" s="18" t="inlineStr">
        <is>
          <t>Installation / Engineering</t>
        </is>
      </c>
      <c r="E51" s="18" t="n">
        <v>14</v>
      </c>
      <c r="F51" s="18" t="n">
        <v>19</v>
      </c>
      <c r="G51" s="18" t="n">
        <v>33</v>
      </c>
      <c r="H51" s="72" t="inlineStr">
        <is>
          <t>All equipment mechanically installed; utilities connected</t>
        </is>
      </c>
    </row>
    <row r="52">
      <c r="A52" s="6" t="inlineStr">
        <is>
          <t>1.7.1</t>
        </is>
      </c>
      <c r="B52" s="6" t="n">
        <v>3</v>
      </c>
      <c r="C52" s="6" t="inlineStr">
        <is>
          <t xml:space="preserve">        EQ-014 RTP installation</t>
        </is>
      </c>
      <c r="D52" s="6" t="inlineStr">
        <is>
          <t>Installation Team</t>
        </is>
      </c>
      <c r="E52" s="6" t="n">
        <v>2</v>
      </c>
      <c r="F52" s="6" t="n">
        <v>20</v>
      </c>
      <c r="G52" s="6" t="n">
        <v>22</v>
      </c>
      <c r="H52" s="8" t="inlineStr">
        <is>
          <t>RTP installed; electrical connected; safety interlocks tested</t>
        </is>
      </c>
    </row>
    <row r="53">
      <c r="A53" s="6" t="inlineStr">
        <is>
          <t>1.7.2</t>
        </is>
      </c>
      <c r="B53" s="6" t="n">
        <v>3</v>
      </c>
      <c r="C53" s="6" t="inlineStr">
        <is>
          <t xml:space="preserve">        EQ-003/004 furnace installation</t>
        </is>
      </c>
      <c r="D53" s="6" t="inlineStr">
        <is>
          <t>Installation Team</t>
        </is>
      </c>
      <c r="E53" s="6" t="n">
        <v>3</v>
      </c>
      <c r="F53" s="6" t="n">
        <v>20</v>
      </c>
      <c r="G53" s="6" t="n">
        <v>23</v>
      </c>
      <c r="H53" s="8" t="inlineStr">
        <is>
          <t>Furnaces installed; N2 purge connected; crane lift complete</t>
        </is>
      </c>
    </row>
    <row r="54">
      <c r="A54" s="6" t="inlineStr">
        <is>
          <t>1.7.3</t>
        </is>
      </c>
      <c r="B54" s="6" t="n">
        <v>3</v>
      </c>
      <c r="C54" s="6" t="inlineStr">
        <is>
          <t xml:space="preserve">        EQ-005 robot installation &amp; MES integration</t>
        </is>
      </c>
      <c r="D54" s="6" t="inlineStr">
        <is>
          <t>Installation / IT</t>
        </is>
      </c>
      <c r="E54" s="6" t="n">
        <v>3</v>
      </c>
      <c r="F54" s="6" t="n">
        <v>20</v>
      </c>
      <c r="G54" s="6" t="n">
        <v>23</v>
      </c>
      <c r="H54" s="8" t="inlineStr">
        <is>
          <t>Robots calibrated; MES endpoints mapped; integration tested</t>
        </is>
      </c>
    </row>
    <row r="55">
      <c r="A55" s="6" t="inlineStr">
        <is>
          <t>1.7.4</t>
        </is>
      </c>
      <c r="B55" s="6" t="n">
        <v>3</v>
      </c>
      <c r="C55" s="6" t="inlineStr">
        <is>
          <t xml:space="preserve">        EQ-006 overhead conveyor installation</t>
        </is>
      </c>
      <c r="D55" s="6" t="inlineStr">
        <is>
          <t>Daifuku / Civil</t>
        </is>
      </c>
      <c r="E55" s="6" t="n">
        <v>4</v>
      </c>
      <c r="F55" s="6" t="n">
        <v>21</v>
      </c>
      <c r="G55" s="6" t="n">
        <v>25</v>
      </c>
      <c r="H55" s="8" t="inlineStr">
        <is>
          <t>Track mounts installed; conveyor commissioned; safety scan</t>
        </is>
      </c>
    </row>
    <row r="56">
      <c r="A56" s="6" t="inlineStr">
        <is>
          <t>1.7.5</t>
        </is>
      </c>
      <c r="B56" s="6" t="n">
        <v>3</v>
      </c>
      <c r="C56" s="6" t="inlineStr">
        <is>
          <t xml:space="preserve">        Utility tie-in — all equipment</t>
        </is>
      </c>
      <c r="D56" s="6" t="inlineStr">
        <is>
          <t>Facilities / Engineering</t>
        </is>
      </c>
      <c r="E56" s="6" t="n">
        <v>4</v>
      </c>
      <c r="F56" s="6" t="n">
        <v>22</v>
      </c>
      <c r="G56" s="6" t="n">
        <v>26</v>
      </c>
      <c r="H56" s="8" t="inlineStr">
        <is>
          <t>All utilities connected; interlock logic verified</t>
        </is>
      </c>
    </row>
    <row r="57">
      <c r="A57" s="6" t="inlineStr">
        <is>
          <t>1.7.6</t>
        </is>
      </c>
      <c r="B57" s="6" t="n">
        <v>3</v>
      </c>
      <c r="C57" s="6" t="inlineStr">
        <is>
          <t xml:space="preserve">        EQ-002 TMP installation [CRITICAL PATH]</t>
        </is>
      </c>
      <c r="D57" s="6" t="inlineStr">
        <is>
          <t>Installation / Pfeiffer</t>
        </is>
      </c>
      <c r="E57" s="6" t="n">
        <v>2</v>
      </c>
      <c r="F57" s="6" t="n">
        <v>28</v>
      </c>
      <c r="G57" s="6" t="n">
        <v>30</v>
      </c>
      <c r="H57" s="8" t="inlineStr">
        <is>
          <t>TMPs installed; roughing pumps connected; leak test</t>
        </is>
      </c>
    </row>
    <row r="58">
      <c r="A58" s="6" t="inlineStr">
        <is>
          <t>1.7.7</t>
        </is>
      </c>
      <c r="B58" s="6" t="n">
        <v>3</v>
      </c>
      <c r="C58" s="6" t="inlineStr">
        <is>
          <t xml:space="preserve">        EQ-008 bulk gas delivery final installation</t>
        </is>
      </c>
      <c r="D58" s="6" t="inlineStr">
        <is>
          <t>Linde / Facilities</t>
        </is>
      </c>
      <c r="E58" s="6" t="n">
        <v>2</v>
      </c>
      <c r="F58" s="6" t="n">
        <v>30</v>
      </c>
      <c r="G58" s="6" t="n">
        <v>32</v>
      </c>
      <c r="H58" s="8" t="inlineStr">
        <is>
          <t>Bulk vessel on-site; gas distribution connected; permit closed</t>
        </is>
      </c>
    </row>
    <row r="59">
      <c r="A59" s="18" t="inlineStr">
        <is>
          <t>1.8</t>
        </is>
      </c>
      <c r="B59" s="18" t="n">
        <v>2</v>
      </c>
      <c r="C59" s="71" t="inlineStr">
        <is>
          <t xml:space="preserve">    PROCESS QUALIFICATION &amp; PRODUCTION RELEASE</t>
        </is>
      </c>
      <c r="D59" s="18" t="inlineStr">
        <is>
          <t>Process Engineering</t>
        </is>
      </c>
      <c r="E59" s="18" t="n">
        <v>14</v>
      </c>
      <c r="F59" s="18" t="n">
        <v>33</v>
      </c>
      <c r="G59" s="18" t="n">
        <v>46</v>
      </c>
      <c r="H59" s="72" t="inlineStr">
        <is>
          <t>All 15 platforms process-qualified; G5 production release</t>
        </is>
      </c>
    </row>
    <row r="60">
      <c r="A60" s="6" t="inlineStr">
        <is>
          <t>1.8.1</t>
        </is>
      </c>
      <c r="B60" s="6" t="n">
        <v>3</v>
      </c>
      <c r="C60" s="6" t="inlineStr">
        <is>
          <t xml:space="preserve">        G4 qualification — EQ-014 RTP</t>
        </is>
      </c>
      <c r="D60" s="6" t="inlineStr">
        <is>
          <t>Process Eng / AMAT</t>
        </is>
      </c>
      <c r="E60" s="6" t="n">
        <v>3</v>
      </c>
      <c r="F60" s="6" t="n">
        <v>33</v>
      </c>
      <c r="G60" s="6" t="n">
        <v>36</v>
      </c>
      <c r="H60" s="8" t="inlineStr">
        <is>
          <t>RTP qualification wafers meet spec; PQ report issued</t>
        </is>
      </c>
    </row>
    <row r="61">
      <c r="A61" s="6" t="inlineStr">
        <is>
          <t>1.8.2</t>
        </is>
      </c>
      <c r="B61" s="6" t="n">
        <v>3</v>
      </c>
      <c r="C61" s="6" t="inlineStr">
        <is>
          <t xml:space="preserve">        G4 qualification — EQ-003/004 furnaces</t>
        </is>
      </c>
      <c r="D61" s="6" t="inlineStr">
        <is>
          <t>Process Eng / Thermco / TEL</t>
        </is>
      </c>
      <c r="E61" s="6" t="n">
        <v>4</v>
      </c>
      <c r="F61" s="6" t="n">
        <v>34</v>
      </c>
      <c r="G61" s="6" t="n">
        <v>38</v>
      </c>
      <c r="H61" s="8" t="inlineStr">
        <is>
          <t>Furnace temperature uniformity and oxidation rates certified</t>
        </is>
      </c>
    </row>
    <row r="62">
      <c r="A62" s="6" t="inlineStr">
        <is>
          <t>1.8.3</t>
        </is>
      </c>
      <c r="B62" s="6" t="n">
        <v>3</v>
      </c>
      <c r="C62" s="6" t="inlineStr">
        <is>
          <t xml:space="preserve">        G4 qualification — EQ-005 robots &amp; MES</t>
        </is>
      </c>
      <c r="D62" s="6" t="inlineStr">
        <is>
          <t>Process Eng / Brooks</t>
        </is>
      </c>
      <c r="E62" s="6" t="n">
        <v>3</v>
      </c>
      <c r="F62" s="6" t="n">
        <v>35</v>
      </c>
      <c r="G62" s="6" t="n">
        <v>38</v>
      </c>
      <c r="H62" s="8" t="inlineStr">
        <is>
          <t>Robot repeatability ±0.1mm; MES integration validated</t>
        </is>
      </c>
    </row>
    <row r="63">
      <c r="A63" s="6" t="inlineStr">
        <is>
          <t>1.8.4</t>
        </is>
      </c>
      <c r="B63" s="6" t="n">
        <v>3</v>
      </c>
      <c r="C63" s="6" t="inlineStr">
        <is>
          <t xml:space="preserve">        G4 qualification — all remaining equipment</t>
        </is>
      </c>
      <c r="D63" s="6" t="inlineStr">
        <is>
          <t>Process Engineering</t>
        </is>
      </c>
      <c r="E63" s="6" t="n">
        <v>3</v>
      </c>
      <c r="F63" s="6" t="n">
        <v>36</v>
      </c>
      <c r="G63" s="6" t="n">
        <v>39</v>
      </c>
      <c r="H63" s="8" t="inlineStr">
        <is>
          <t>All 15 platforms in qualified state</t>
        </is>
      </c>
    </row>
    <row r="64">
      <c r="A64" s="6" t="inlineStr">
        <is>
          <t>1.8.5</t>
        </is>
      </c>
      <c r="B64" s="6" t="n">
        <v>3</v>
      </c>
      <c r="C64" s="6" t="inlineStr">
        <is>
          <t xml:space="preserve">        SOP documentation &amp; operator training</t>
        </is>
      </c>
      <c r="D64" s="6" t="inlineStr">
        <is>
          <t>Process Eng / Training</t>
        </is>
      </c>
      <c r="E64" s="6" t="n">
        <v>3</v>
      </c>
      <c r="F64" s="6" t="n">
        <v>38</v>
      </c>
      <c r="G64" s="6" t="n">
        <v>41</v>
      </c>
      <c r="H64" s="8" t="inlineStr">
        <is>
          <t>SOPs issued; all operators trained and signed off</t>
        </is>
      </c>
    </row>
    <row r="65">
      <c r="A65" s="6" t="inlineStr">
        <is>
          <t>1.8.6</t>
        </is>
      </c>
      <c r="B65" s="6" t="n">
        <v>3</v>
      </c>
      <c r="C65" s="6" t="inlineStr">
        <is>
          <t xml:space="preserve">        Spare parts receipt &amp; inventory loading</t>
        </is>
      </c>
      <c r="D65" s="6" t="inlineStr">
        <is>
          <t>Supply Chain / Maintenance</t>
        </is>
      </c>
      <c r="E65" s="6" t="n">
        <v>2</v>
      </c>
      <c r="F65" s="6" t="n">
        <v>38</v>
      </c>
      <c r="G65" s="6" t="n">
        <v>40</v>
      </c>
      <c r="H65" s="8" t="inlineStr">
        <is>
          <t>Critical spares stocked; CMMS loaded; reorder triggers set</t>
        </is>
      </c>
    </row>
    <row r="66">
      <c r="A66" s="6" t="inlineStr">
        <is>
          <t>1.8.7</t>
        </is>
      </c>
      <c r="B66" s="6" t="n">
        <v>3</v>
      </c>
      <c r="C66" s="6" t="inlineStr">
        <is>
          <t xml:space="preserve">        G5 production release — handover to Operations</t>
        </is>
      </c>
      <c r="D66" s="6" t="inlineStr">
        <is>
          <t>PM / Process Eng / Ops</t>
        </is>
      </c>
      <c r="E66" s="6" t="n">
        <v>2</v>
      </c>
      <c r="F66" s="6" t="n">
        <v>44</v>
      </c>
      <c r="G66" s="6" t="n">
        <v>46</v>
      </c>
      <c r="H66" s="8" t="inlineStr">
        <is>
          <t>Formal handover complete; program closed</t>
        </is>
      </c>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tabColor rgb="002E7D32"/>
    <outlinePr summaryBelow="1" summaryRight="1"/>
    <pageSetUpPr/>
  </sheetPr>
  <dimension ref="A1:N52"/>
  <sheetViews>
    <sheetView workbookViewId="0">
      <pane ySplit="5" topLeftCell="A6" activePane="bottomLeft" state="frozen"/>
      <selection pane="bottomLeft" activeCell="A1" sqref="A1"/>
    </sheetView>
  </sheetViews>
  <sheetFormatPr baseColWidth="8" defaultRowHeight="15"/>
  <cols>
    <col width="8" customWidth="1" min="1" max="1"/>
    <col width="8" customWidth="1" min="2" max="2"/>
    <col width="44" customWidth="1" min="3" max="3"/>
    <col width="20" customWidth="1" min="4" max="4"/>
    <col width="11" customWidth="1" min="5" max="5"/>
    <col width="15" customWidth="1" min="6" max="6"/>
    <col width="8" customWidth="1" min="7" max="7"/>
    <col width="8" customWidth="1" min="8" max="8"/>
    <col width="8" customWidth="1" min="9" max="9"/>
    <col width="8" customWidth="1" min="10" max="10"/>
    <col width="8" customWidth="1" min="11" max="11"/>
    <col width="10" customWidth="1" min="12" max="12"/>
    <col width="9" customWidth="1" min="13" max="13"/>
    <col width="50" customWidth="1" min="14" max="14"/>
  </cols>
  <sheetData>
    <row r="1" ht="26" customHeight="1">
      <c r="A1" s="69" t="inlineStr">
        <is>
          <t>S07 — Critical Path Method (CPM) Master Schedule — Greenfield Expansion Phase II</t>
        </is>
      </c>
    </row>
    <row r="2" ht="15" customHeight="1">
      <c r="A2" s="2" t="inlineStr">
        <is>
          <t>Activity durations in weeks | Program start: Week 1 = Apr-2025 | Owner: Sourabh Tarodekar | Critical path: EQ-002 Pfeiffer TMP chain = 46 weeks | Total Float = LS − ES = LF − EF | Activities with Float = 0 are on the Critical Path.</t>
        </is>
      </c>
    </row>
    <row r="4" ht="30" customHeight="1">
      <c r="A4" s="70" t="inlineStr">
        <is>
          <t>Act ID</t>
        </is>
      </c>
      <c r="B4" s="70" t="inlineStr">
        <is>
          <t>WBS Ref</t>
        </is>
      </c>
      <c r="C4" s="70" t="inlineStr">
        <is>
          <t>Activity Description</t>
        </is>
      </c>
      <c r="D4" s="70" t="inlineStr">
        <is>
          <t>Responsible</t>
        </is>
      </c>
      <c r="E4" s="70" t="inlineStr">
        <is>
          <t>Duration (wks)</t>
        </is>
      </c>
      <c r="F4" s="70" t="inlineStr">
        <is>
          <t>Predecessor(s)</t>
        </is>
      </c>
      <c r="G4" s="70" t="inlineStr">
        <is>
          <t>Early Start (ES)</t>
        </is>
      </c>
      <c r="H4" s="70" t="inlineStr">
        <is>
          <t>Early Finish (EF)</t>
        </is>
      </c>
      <c r="I4" s="70" t="inlineStr">
        <is>
          <t>Late Start (LS)</t>
        </is>
      </c>
      <c r="J4" s="70" t="inlineStr">
        <is>
          <t>Late Finish (LF)</t>
        </is>
      </c>
      <c r="K4" s="70" t="inlineStr">
        <is>
          <t>Total Float</t>
        </is>
      </c>
      <c r="L4" s="70" t="inlineStr">
        <is>
          <t>Critical Path?</t>
        </is>
      </c>
      <c r="M4" s="70" t="inlineStr">
        <is>
          <t>Risk Flag</t>
        </is>
      </c>
      <c r="N4" s="70" t="inlineStr">
        <is>
          <t>Notes</t>
        </is>
      </c>
    </row>
    <row r="5">
      <c r="A5" s="39" t="inlineStr">
        <is>
          <t>A01</t>
        </is>
      </c>
      <c r="B5" s="6" t="inlineStr">
        <is>
          <t>1.1.1</t>
        </is>
      </c>
      <c r="C5" s="6" t="inlineStr">
        <is>
          <t>Program Kick-off &amp; AR Execution</t>
        </is>
      </c>
      <c r="D5" s="6" t="inlineStr">
        <is>
          <t>PM / Finance</t>
        </is>
      </c>
      <c r="E5" s="43" t="n">
        <v>1</v>
      </c>
      <c r="F5" s="43" t="inlineStr">
        <is>
          <t>—</t>
        </is>
      </c>
      <c r="G5" s="43" t="n">
        <v>1</v>
      </c>
      <c r="H5" s="43" t="n">
        <v>1</v>
      </c>
      <c r="I5" s="43" t="n">
        <v>1</v>
      </c>
      <c r="J5" s="43" t="n">
        <v>1</v>
      </c>
      <c r="K5" s="6">
        <f>I5-G5</f>
        <v/>
      </c>
      <c r="L5" s="6">
        <f>IF(K5=0,"YES","NO")</f>
        <v/>
      </c>
      <c r="M5" s="40" t="inlineStr">
        <is>
          <t>LOW</t>
        </is>
      </c>
      <c r="N5" s="8" t="inlineStr">
        <is>
          <t>Start node — AR signed, POs authorized</t>
        </is>
      </c>
    </row>
    <row r="6">
      <c r="A6" s="39" t="inlineStr">
        <is>
          <t>A02</t>
        </is>
      </c>
      <c r="B6" s="6" t="inlineStr">
        <is>
          <t>1.2.1</t>
        </is>
      </c>
      <c r="C6" s="6" t="inlineStr">
        <is>
          <t>RFQ Issue — Long-Lead Equipment</t>
        </is>
      </c>
      <c r="D6" s="6" t="inlineStr">
        <is>
          <t>Sourcing</t>
        </is>
      </c>
      <c r="E6" s="43" t="n">
        <v>1</v>
      </c>
      <c r="F6" s="43" t="inlineStr">
        <is>
          <t>A01</t>
        </is>
      </c>
      <c r="G6" s="43" t="n">
        <v>2</v>
      </c>
      <c r="H6" s="43" t="n">
        <v>2</v>
      </c>
      <c r="I6" s="43" t="n">
        <v>2</v>
      </c>
      <c r="J6" s="43" t="n">
        <v>2</v>
      </c>
      <c r="K6" s="6">
        <f>I6-G6</f>
        <v/>
      </c>
      <c r="L6" s="6">
        <f>IF(K6=0,"YES","NO")</f>
        <v/>
      </c>
      <c r="M6" s="40" t="inlineStr">
        <is>
          <t>LOW</t>
        </is>
      </c>
      <c r="N6" s="8" t="inlineStr">
        <is>
          <t>RFQs to Pfeiffer, TEL, AMAT, Linde</t>
        </is>
      </c>
    </row>
    <row r="7">
      <c r="A7" s="39" t="inlineStr">
        <is>
          <t>A03</t>
        </is>
      </c>
      <c r="B7" s="6" t="inlineStr">
        <is>
          <t>1.3.1</t>
        </is>
      </c>
      <c r="C7" s="6" t="inlineStr">
        <is>
          <t>Equipment Technical Spec Review</t>
        </is>
      </c>
      <c r="D7" s="6" t="inlineStr">
        <is>
          <t>Process Eng</t>
        </is>
      </c>
      <c r="E7" s="43" t="n">
        <v>2</v>
      </c>
      <c r="F7" s="43" t="inlineStr">
        <is>
          <t>A01</t>
        </is>
      </c>
      <c r="G7" s="43" t="n">
        <v>2</v>
      </c>
      <c r="H7" s="43" t="n">
        <v>3</v>
      </c>
      <c r="I7" s="43" t="n">
        <v>2</v>
      </c>
      <c r="J7" s="43" t="n">
        <v>3</v>
      </c>
      <c r="K7" s="6">
        <f>I7-G7</f>
        <v/>
      </c>
      <c r="L7" s="6">
        <f>IF(K7=0,"YES","NO")</f>
        <v/>
      </c>
      <c r="M7" s="40" t="inlineStr">
        <is>
          <t>LOW</t>
        </is>
      </c>
      <c r="N7" s="8" t="inlineStr">
        <is>
          <t>Specs signed off before RFQ response due</t>
        </is>
      </c>
    </row>
    <row r="8">
      <c r="A8" s="39" t="inlineStr">
        <is>
          <t>A04</t>
        </is>
      </c>
      <c r="B8" s="6" t="inlineStr">
        <is>
          <t>1.2.2</t>
        </is>
      </c>
      <c r="C8" s="6" t="inlineStr">
        <is>
          <t>Supplier Commercial Evaluation &amp; BAFO</t>
        </is>
      </c>
      <c r="D8" s="6" t="inlineStr">
        <is>
          <t>Sourcing</t>
        </is>
      </c>
      <c r="E8" s="43" t="n">
        <v>2</v>
      </c>
      <c r="F8" s="43" t="inlineStr">
        <is>
          <t>A02,A03</t>
        </is>
      </c>
      <c r="G8" s="43" t="n">
        <v>4</v>
      </c>
      <c r="H8" s="43" t="n">
        <v>5</v>
      </c>
      <c r="I8" s="43" t="n">
        <v>4</v>
      </c>
      <c r="J8" s="43" t="n">
        <v>5</v>
      </c>
      <c r="K8" s="6">
        <f>I8-G8</f>
        <v/>
      </c>
      <c r="L8" s="6">
        <f>IF(K8=0,"YES","NO")</f>
        <v/>
      </c>
      <c r="M8" s="40" t="inlineStr">
        <is>
          <t>LOW</t>
        </is>
      </c>
      <c r="N8" s="8" t="inlineStr">
        <is>
          <t>Bid tabs; BAFO received from all</t>
        </is>
      </c>
    </row>
    <row r="9">
      <c r="A9" s="39" t="inlineStr">
        <is>
          <t>A05</t>
        </is>
      </c>
      <c r="B9" s="6" t="inlineStr">
        <is>
          <t>1.2.7</t>
        </is>
      </c>
      <c r="C9" s="6" t="inlineStr">
        <is>
          <t>FX Forward Contract Execution</t>
        </is>
      </c>
      <c r="D9" s="6" t="inlineStr">
        <is>
          <t>Finance</t>
        </is>
      </c>
      <c r="E9" s="43" t="n">
        <v>1</v>
      </c>
      <c r="F9" s="43" t="inlineStr">
        <is>
          <t>A04</t>
        </is>
      </c>
      <c r="G9" s="43" t="n">
        <v>5</v>
      </c>
      <c r="H9" s="43" t="n">
        <v>5</v>
      </c>
      <c r="I9" s="43" t="n">
        <v>5</v>
      </c>
      <c r="J9" s="43" t="n">
        <v>5</v>
      </c>
      <c r="K9" s="6">
        <f>I9-G9</f>
        <v/>
      </c>
      <c r="L9" s="6">
        <f>IF(K9=0,"YES","NO")</f>
        <v/>
      </c>
      <c r="M9" s="46" t="inlineStr">
        <is>
          <t>MOD</t>
        </is>
      </c>
      <c r="N9" s="8" t="inlineStr">
        <is>
          <t>EUR+JPY hedges before PO — finance gate</t>
        </is>
      </c>
    </row>
    <row r="10">
      <c r="A10" s="39" t="inlineStr">
        <is>
          <t>A06</t>
        </is>
      </c>
      <c r="B10" s="6" t="inlineStr">
        <is>
          <t>1.2.4</t>
        </is>
      </c>
      <c r="C10" s="6" t="inlineStr">
        <is>
          <t>PO Award — EQ-002 Pfeiffer TMP (CRITICAL)</t>
        </is>
      </c>
      <c r="D10" s="6" t="inlineStr">
        <is>
          <t>Sourcing</t>
        </is>
      </c>
      <c r="E10" s="43" t="n">
        <v>1</v>
      </c>
      <c r="F10" s="43" t="inlineStr">
        <is>
          <t>A04,A05</t>
        </is>
      </c>
      <c r="G10" s="43" t="n">
        <v>6</v>
      </c>
      <c r="H10" s="43" t="n">
        <v>6</v>
      </c>
      <c r="I10" s="43" t="n">
        <v>6</v>
      </c>
      <c r="J10" s="43" t="n">
        <v>6</v>
      </c>
      <c r="K10" s="6">
        <f>I10-G10</f>
        <v/>
      </c>
      <c r="L10" s="6">
        <f>IF(K10=0,"YES","NO")</f>
        <v/>
      </c>
      <c r="M10" s="73" t="inlineStr">
        <is>
          <t>HIGH</t>
        </is>
      </c>
      <c r="N10" s="8" t="inlineStr">
        <is>
          <t>CRITICAL PATH anchor — 26-wk mfg starts here</t>
        </is>
      </c>
    </row>
    <row r="11">
      <c r="A11" s="39" t="inlineStr">
        <is>
          <t>A07</t>
        </is>
      </c>
      <c r="B11" s="6" t="inlineStr">
        <is>
          <t>1.2.3</t>
        </is>
      </c>
      <c r="C11" s="6" t="inlineStr">
        <is>
          <t>PO Award — EQ-014 AMAT RTP</t>
        </is>
      </c>
      <c r="D11" s="6" t="inlineStr">
        <is>
          <t>Sourcing</t>
        </is>
      </c>
      <c r="E11" s="43" t="n">
        <v>1</v>
      </c>
      <c r="F11" s="43" t="inlineStr">
        <is>
          <t>A04,A05</t>
        </is>
      </c>
      <c r="G11" s="43" t="n">
        <v>6</v>
      </c>
      <c r="H11" s="43" t="n">
        <v>6</v>
      </c>
      <c r="I11" s="43" t="n">
        <v>7</v>
      </c>
      <c r="J11" s="43" t="n">
        <v>7</v>
      </c>
      <c r="K11" s="6">
        <f>I11-G11</f>
        <v/>
      </c>
      <c r="L11" s="6">
        <f>IF(K11=0,"YES","NO")</f>
        <v/>
      </c>
      <c r="M11" s="46" t="inlineStr">
        <is>
          <t>MOD</t>
        </is>
      </c>
      <c r="N11" s="8" t="inlineStr">
        <is>
          <t>1-wk float; 30% deposit = $437.5K at PO</t>
        </is>
      </c>
    </row>
    <row r="12">
      <c r="A12" s="39" t="inlineStr">
        <is>
          <t>A08</t>
        </is>
      </c>
      <c r="B12" s="6" t="inlineStr">
        <is>
          <t>1.2.5</t>
        </is>
      </c>
      <c r="C12" s="6" t="inlineStr">
        <is>
          <t>PO Award — EQ-004 TEL Batch Furnace</t>
        </is>
      </c>
      <c r="D12" s="6" t="inlineStr">
        <is>
          <t>Sourcing</t>
        </is>
      </c>
      <c r="E12" s="43" t="n">
        <v>1</v>
      </c>
      <c r="F12" s="43" t="inlineStr">
        <is>
          <t>A04,A05</t>
        </is>
      </c>
      <c r="G12" s="43" t="n">
        <v>6</v>
      </c>
      <c r="H12" s="43" t="n">
        <v>6</v>
      </c>
      <c r="I12" s="43" t="n">
        <v>8</v>
      </c>
      <c r="J12" s="43" t="n">
        <v>8</v>
      </c>
      <c r="K12" s="6">
        <f>I12-G12</f>
        <v/>
      </c>
      <c r="L12" s="6">
        <f>IF(K12=0,"YES","NO")</f>
        <v/>
      </c>
      <c r="M12" s="46" t="inlineStr">
        <is>
          <t>MOD</t>
        </is>
      </c>
      <c r="N12" s="8" t="inlineStr">
        <is>
          <t>2-wk float; JPY hedge confirmed</t>
        </is>
      </c>
    </row>
    <row r="13">
      <c r="A13" s="39" t="inlineStr">
        <is>
          <t>A09</t>
        </is>
      </c>
      <c r="B13" s="6" t="inlineStr">
        <is>
          <t>1.2.6</t>
        </is>
      </c>
      <c r="C13" s="6" t="inlineStr">
        <is>
          <t>PO Award — All Remaining Equipment</t>
        </is>
      </c>
      <c r="D13" s="6" t="inlineStr">
        <is>
          <t>Sourcing</t>
        </is>
      </c>
      <c r="E13" s="43" t="n">
        <v>2</v>
      </c>
      <c r="F13" s="43" t="inlineStr">
        <is>
          <t>A04,A05</t>
        </is>
      </c>
      <c r="G13" s="43" t="n">
        <v>6</v>
      </c>
      <c r="H13" s="43" t="n">
        <v>7</v>
      </c>
      <c r="I13" s="43" t="n">
        <v>6</v>
      </c>
      <c r="J13" s="43" t="n">
        <v>7</v>
      </c>
      <c r="K13" s="6">
        <f>I13-G13</f>
        <v/>
      </c>
      <c r="L13" s="6">
        <f>IF(K13=0,"YES","NO")</f>
        <v/>
      </c>
      <c r="M13" s="40" t="inlineStr">
        <is>
          <t>LOW</t>
        </is>
      </c>
      <c r="N13" s="8" t="inlineStr">
        <is>
          <t>EQ-001,003,005,006,007,008,009,010,011,012,013,015</t>
        </is>
      </c>
    </row>
    <row r="14">
      <c r="A14" s="39" t="inlineStr">
        <is>
          <t>A10</t>
        </is>
      </c>
      <c r="B14" s="6" t="inlineStr">
        <is>
          <t>1.3.4</t>
        </is>
      </c>
      <c r="C14" s="6" t="inlineStr">
        <is>
          <t>Site Layout &amp; Equipment Placement Freeze</t>
        </is>
      </c>
      <c r="D14" s="6" t="inlineStr">
        <is>
          <t>Facilities</t>
        </is>
      </c>
      <c r="E14" s="43" t="n">
        <v>3</v>
      </c>
      <c r="F14" s="43" t="inlineStr">
        <is>
          <t>A01</t>
        </is>
      </c>
      <c r="G14" s="43" t="n">
        <v>2</v>
      </c>
      <c r="H14" s="43" t="n">
        <v>4</v>
      </c>
      <c r="I14" s="43" t="n">
        <v>2</v>
      </c>
      <c r="J14" s="43" t="n">
        <v>4</v>
      </c>
      <c r="K14" s="6">
        <f>I14-G14</f>
        <v/>
      </c>
      <c r="L14" s="6">
        <f>IF(K14=0,"YES","NO")</f>
        <v/>
      </c>
      <c r="M14" s="40" t="inlineStr">
        <is>
          <t>LOW</t>
        </is>
      </c>
      <c r="N14" s="8" t="inlineStr">
        <is>
          <t>Civil works blocked until layout approved</t>
        </is>
      </c>
    </row>
    <row r="15">
      <c r="A15" s="39" t="inlineStr">
        <is>
          <t>A11</t>
        </is>
      </c>
      <c r="B15" s="6" t="inlineStr">
        <is>
          <t>1.6.4</t>
        </is>
      </c>
      <c r="C15" s="6" t="inlineStr">
        <is>
          <t>Gas System / Hazmat Permit</t>
        </is>
      </c>
      <c r="D15" s="6" t="inlineStr">
        <is>
          <t>Facilities/Regulatory</t>
        </is>
      </c>
      <c r="E15" s="43" t="n">
        <v>12</v>
      </c>
      <c r="F15" s="43" t="inlineStr">
        <is>
          <t>A10</t>
        </is>
      </c>
      <c r="G15" s="43" t="n">
        <v>5</v>
      </c>
      <c r="H15" s="43" t="n">
        <v>16</v>
      </c>
      <c r="I15" s="43" t="n">
        <v>5</v>
      </c>
      <c r="J15" s="43" t="n">
        <v>16</v>
      </c>
      <c r="K15" s="6">
        <f>I15-G15</f>
        <v/>
      </c>
      <c r="L15" s="6">
        <f>IF(K15=0,"YES","NO")</f>
        <v/>
      </c>
      <c r="M15" s="73" t="inlineStr">
        <is>
          <t>CRIT</t>
        </is>
      </c>
      <c r="N15" s="8" t="inlineStr">
        <is>
          <t>CRITICAL — permit on critical path; submit immediately</t>
        </is>
      </c>
    </row>
    <row r="16">
      <c r="A16" s="39" t="inlineStr">
        <is>
          <t>A12</t>
        </is>
      </c>
      <c r="B16" s="6" t="inlineStr">
        <is>
          <t>1.6.2</t>
        </is>
      </c>
      <c r="C16" s="6" t="inlineStr">
        <is>
          <t>Electrical Infrastructure (Transformers)</t>
        </is>
      </c>
      <c r="D16" s="6" t="inlineStr">
        <is>
          <t>Electrical Eng</t>
        </is>
      </c>
      <c r="E16" s="43" t="n">
        <v>10</v>
      </c>
      <c r="F16" s="43" t="inlineStr">
        <is>
          <t>A10</t>
        </is>
      </c>
      <c r="G16" s="43" t="n">
        <v>5</v>
      </c>
      <c r="H16" s="43" t="n">
        <v>14</v>
      </c>
      <c r="I16" s="43" t="n">
        <v>5</v>
      </c>
      <c r="J16" s="43" t="n">
        <v>14</v>
      </c>
      <c r="K16" s="6">
        <f>I16-G16</f>
        <v/>
      </c>
      <c r="L16" s="6">
        <f>IF(K16=0,"YES","NO")</f>
        <v/>
      </c>
      <c r="M16" s="46" t="inlineStr">
        <is>
          <t>MOD</t>
        </is>
      </c>
      <c r="N16" s="8" t="inlineStr">
        <is>
          <t>480V feeds; EQ-011 transformer on order wk1</t>
        </is>
      </c>
    </row>
    <row r="17">
      <c r="A17" s="39" t="inlineStr">
        <is>
          <t>A13</t>
        </is>
      </c>
      <c r="B17" s="6" t="inlineStr">
        <is>
          <t>1.6.1</t>
        </is>
      </c>
      <c r="C17" s="6" t="inlineStr">
        <is>
          <t>Floor Reinforcement — EQ-004 Zone</t>
        </is>
      </c>
      <c r="D17" s="6" t="inlineStr">
        <is>
          <t>Civil Eng</t>
        </is>
      </c>
      <c r="E17" s="43" t="n">
        <v>6</v>
      </c>
      <c r="F17" s="43" t="inlineStr">
        <is>
          <t>A10</t>
        </is>
      </c>
      <c r="G17" s="43" t="n">
        <v>5</v>
      </c>
      <c r="H17" s="43" t="n">
        <v>10</v>
      </c>
      <c r="I17" s="43" t="n">
        <v>5</v>
      </c>
      <c r="J17" s="43" t="n">
        <v>10</v>
      </c>
      <c r="K17" s="6">
        <f>I17-G17</f>
        <v/>
      </c>
      <c r="L17" s="6">
        <f>IF(K17=0,"YES","NO")</f>
        <v/>
      </c>
      <c r="M17" s="40" t="inlineStr">
        <is>
          <t>LOW</t>
        </is>
      </c>
      <c r="N17" s="8" t="inlineStr">
        <is>
          <t>Must complete before furnace delivery (Wk 28)</t>
        </is>
      </c>
    </row>
    <row r="18">
      <c r="A18" s="39" t="inlineStr">
        <is>
          <t>A14</t>
        </is>
      </c>
      <c r="B18" s="6" t="inlineStr">
        <is>
          <t>1.6.3</t>
        </is>
      </c>
      <c r="C18" s="6" t="inlineStr">
        <is>
          <t>Cooling Loop Installation</t>
        </is>
      </c>
      <c r="D18" s="6" t="inlineStr">
        <is>
          <t>Mech Eng</t>
        </is>
      </c>
      <c r="E18" s="43" t="n">
        <v>8</v>
      </c>
      <c r="F18" s="43" t="inlineStr">
        <is>
          <t>A12</t>
        </is>
      </c>
      <c r="G18" s="43" t="n">
        <v>15</v>
      </c>
      <c r="H18" s="43" t="n">
        <v>22</v>
      </c>
      <c r="I18" s="43" t="n">
        <v>15</v>
      </c>
      <c r="J18" s="43" t="n">
        <v>22</v>
      </c>
      <c r="K18" s="6">
        <f>I18-G18</f>
        <v/>
      </c>
      <c r="L18" s="6">
        <f>IF(K18=0,"YES","NO")</f>
        <v/>
      </c>
      <c r="M18" s="40" t="inlineStr">
        <is>
          <t>LOW</t>
        </is>
      </c>
      <c r="N18" s="8" t="inlineStr">
        <is>
          <t>Glycol loop after electrical infrastructure</t>
        </is>
      </c>
    </row>
    <row r="19">
      <c r="A19" s="39" t="inlineStr">
        <is>
          <t>A15</t>
        </is>
      </c>
      <c r="B19" s="6" t="inlineStr">
        <is>
          <t>1.4.2</t>
        </is>
      </c>
      <c r="C19" s="6" t="inlineStr">
        <is>
          <t>EQ-002 Pfeiffer TMP — Mfg &amp; FAT (CRITICAL)</t>
        </is>
      </c>
      <c r="D19" s="6" t="inlineStr">
        <is>
          <t>Pfeiffer</t>
        </is>
      </c>
      <c r="E19" s="43" t="n">
        <v>26</v>
      </c>
      <c r="F19" s="43" t="inlineStr">
        <is>
          <t>A06</t>
        </is>
      </c>
      <c r="G19" s="43" t="n">
        <v>7</v>
      </c>
      <c r="H19" s="43" t="n">
        <v>32</v>
      </c>
      <c r="I19" s="43" t="n">
        <v>7</v>
      </c>
      <c r="J19" s="43" t="n">
        <v>32</v>
      </c>
      <c r="K19" s="6">
        <f>I19-G19</f>
        <v/>
      </c>
      <c r="L19" s="6">
        <f>IF(K19=0,"YES","NO")</f>
        <v/>
      </c>
      <c r="M19" s="73" t="inlineStr">
        <is>
          <t>CRIT</t>
        </is>
      </c>
      <c r="N19" s="8" t="inlineStr">
        <is>
          <t>CRITICAL PATH — longest manufacturing chain</t>
        </is>
      </c>
    </row>
    <row r="20">
      <c r="A20" s="39" t="inlineStr">
        <is>
          <t>A16</t>
        </is>
      </c>
      <c r="B20" s="6" t="inlineStr">
        <is>
          <t>1.4.1</t>
        </is>
      </c>
      <c r="C20" s="6" t="inlineStr">
        <is>
          <t>EQ-014 AMAT RTP — Mfg &amp; FAT</t>
        </is>
      </c>
      <c r="D20" s="6" t="inlineStr">
        <is>
          <t>AMAT</t>
        </is>
      </c>
      <c r="E20" s="43" t="n">
        <v>24</v>
      </c>
      <c r="F20" s="43" t="inlineStr">
        <is>
          <t>A07</t>
        </is>
      </c>
      <c r="G20" s="43" t="n">
        <v>7</v>
      </c>
      <c r="H20" s="43" t="n">
        <v>30</v>
      </c>
      <c r="I20" s="43" t="n">
        <v>8</v>
      </c>
      <c r="J20" s="43" t="n">
        <v>31</v>
      </c>
      <c r="K20" s="6">
        <f>I20-G20</f>
        <v/>
      </c>
      <c r="L20" s="6">
        <f>IF(K20=0,"YES","NO")</f>
        <v/>
      </c>
      <c r="M20" s="46" t="inlineStr">
        <is>
          <t>MOD</t>
        </is>
      </c>
      <c r="N20" s="8" t="inlineStr">
        <is>
          <t>1-wk float; highest-value item</t>
        </is>
      </c>
    </row>
    <row r="21">
      <c r="A21" s="39" t="inlineStr">
        <is>
          <t>A17</t>
        </is>
      </c>
      <c r="B21" s="6" t="inlineStr">
        <is>
          <t>1.4.3</t>
        </is>
      </c>
      <c r="C21" s="6" t="inlineStr">
        <is>
          <t>EQ-004 TEL Batch Furnace — Mfg &amp; FAT</t>
        </is>
      </c>
      <c r="D21" s="6" t="inlineStr">
        <is>
          <t>TEL</t>
        </is>
      </c>
      <c r="E21" s="43" t="n">
        <v>28</v>
      </c>
      <c r="F21" s="43" t="inlineStr">
        <is>
          <t>A08</t>
        </is>
      </c>
      <c r="G21" s="43" t="n">
        <v>7</v>
      </c>
      <c r="H21" s="43" t="n">
        <v>34</v>
      </c>
      <c r="I21" s="43" t="n">
        <v>9</v>
      </c>
      <c r="J21" s="43" t="n">
        <v>36</v>
      </c>
      <c r="K21" s="6">
        <f>I21-G21</f>
        <v/>
      </c>
      <c r="L21" s="6">
        <f>IF(K21=0,"YES","NO")</f>
        <v/>
      </c>
      <c r="M21" s="73" t="inlineStr">
        <is>
          <t>HIGH</t>
        </is>
      </c>
      <c r="N21" s="8" t="inlineStr">
        <is>
          <t>28-wk mfg; JPY risk; FAT 3 wks</t>
        </is>
      </c>
    </row>
    <row r="22">
      <c r="A22" s="39" t="inlineStr">
        <is>
          <t>A18</t>
        </is>
      </c>
      <c r="B22" s="6" t="inlineStr">
        <is>
          <t>1.4.4</t>
        </is>
      </c>
      <c r="C22" s="6" t="inlineStr">
        <is>
          <t>EQ-003 Thermco Tube Furnace — Mfg &amp; FAT</t>
        </is>
      </c>
      <c r="D22" s="6" t="inlineStr">
        <is>
          <t>Thermco</t>
        </is>
      </c>
      <c r="E22" s="43" t="n">
        <v>20</v>
      </c>
      <c r="F22" s="43" t="inlineStr">
        <is>
          <t>A09</t>
        </is>
      </c>
      <c r="G22" s="43" t="n">
        <v>8</v>
      </c>
      <c r="H22" s="43" t="n">
        <v>27</v>
      </c>
      <c r="I22" s="43" t="n">
        <v>8</v>
      </c>
      <c r="J22" s="43" t="n">
        <v>27</v>
      </c>
      <c r="K22" s="6">
        <f>I22-G22</f>
        <v/>
      </c>
      <c r="L22" s="6">
        <f>IF(K22=0,"YES","NO")</f>
        <v/>
      </c>
      <c r="M22" s="40" t="inlineStr">
        <is>
          <t>LOW</t>
        </is>
      </c>
      <c r="N22" s="8" t="inlineStr">
        <is>
          <t>FAT at Austin TX; recipe transfer</t>
        </is>
      </c>
    </row>
    <row r="23">
      <c r="A23" s="39" t="inlineStr">
        <is>
          <t>A19</t>
        </is>
      </c>
      <c r="B23" s="6" t="inlineStr">
        <is>
          <t>1.4.5</t>
        </is>
      </c>
      <c r="C23" s="6" t="inlineStr">
        <is>
          <t>EQ-005 Brooks SCARA — Mfg &amp; FAT</t>
        </is>
      </c>
      <c r="D23" s="6" t="inlineStr">
        <is>
          <t>Brooks</t>
        </is>
      </c>
      <c r="E23" s="43" t="n">
        <v>14</v>
      </c>
      <c r="F23" s="43" t="inlineStr">
        <is>
          <t>A09</t>
        </is>
      </c>
      <c r="G23" s="43" t="n">
        <v>8</v>
      </c>
      <c r="H23" s="43" t="n">
        <v>21</v>
      </c>
      <c r="I23" s="43" t="n">
        <v>8</v>
      </c>
      <c r="J23" s="43" t="n">
        <v>21</v>
      </c>
      <c r="K23" s="6">
        <f>I23-G23</f>
        <v/>
      </c>
      <c r="L23" s="6">
        <f>IF(K23=0,"YES","NO")</f>
        <v/>
      </c>
      <c r="M23" s="46" t="inlineStr">
        <is>
          <t>MOD</t>
        </is>
      </c>
      <c r="N23" s="8" t="inlineStr">
        <is>
          <t>MES integration tested at FAT</t>
        </is>
      </c>
    </row>
    <row r="24">
      <c r="A24" s="39" t="inlineStr">
        <is>
          <t>A20</t>
        </is>
      </c>
      <c r="B24" s="6" t="inlineStr">
        <is>
          <t>1.4.6</t>
        </is>
      </c>
      <c r="C24" s="6" t="inlineStr">
        <is>
          <t>EQ-008 Linde Bulk Gas — Manufacturing</t>
        </is>
      </c>
      <c r="D24" s="6" t="inlineStr">
        <is>
          <t>Linde</t>
        </is>
      </c>
      <c r="E24" s="43" t="n">
        <v>32</v>
      </c>
      <c r="F24" s="43" t="inlineStr">
        <is>
          <t>A09</t>
        </is>
      </c>
      <c r="G24" s="43" t="n">
        <v>8</v>
      </c>
      <c r="H24" s="43" t="n">
        <v>39</v>
      </c>
      <c r="I24" s="43" t="n">
        <v>8</v>
      </c>
      <c r="J24" s="43" t="n">
        <v>39</v>
      </c>
      <c r="K24" s="6">
        <f>I24-G24</f>
        <v/>
      </c>
      <c r="L24" s="6">
        <f>IF(K24=0,"YES","NO")</f>
        <v/>
      </c>
      <c r="M24" s="46" t="inlineStr">
        <is>
          <t>MOD</t>
        </is>
      </c>
      <c r="N24" s="8" t="inlineStr">
        <is>
          <t>Longest-lead item in remaining equipment</t>
        </is>
      </c>
    </row>
    <row r="25">
      <c r="A25" s="39" t="inlineStr">
        <is>
          <t>A21</t>
        </is>
      </c>
      <c r="B25" s="6" t="inlineStr">
        <is>
          <t>1.4.7</t>
        </is>
      </c>
      <c r="C25" s="6" t="inlineStr">
        <is>
          <t>Remaining Equipment — Mfg &amp; FAT</t>
        </is>
      </c>
      <c r="D25" s="6" t="inlineStr">
        <is>
          <t>Various</t>
        </is>
      </c>
      <c r="E25" s="43" t="n">
        <v>18</v>
      </c>
      <c r="F25" s="43" t="inlineStr">
        <is>
          <t>A09</t>
        </is>
      </c>
      <c r="G25" s="43" t="n">
        <v>8</v>
      </c>
      <c r="H25" s="43" t="n">
        <v>25</v>
      </c>
      <c r="I25" s="43" t="n">
        <v>8</v>
      </c>
      <c r="J25" s="43" t="n">
        <v>25</v>
      </c>
      <c r="K25" s="6">
        <f>I25-G25</f>
        <v/>
      </c>
      <c r="L25" s="6">
        <f>IF(K25=0,"YES","NO")</f>
        <v/>
      </c>
      <c r="M25" s="40" t="inlineStr">
        <is>
          <t>LOW</t>
        </is>
      </c>
      <c r="N25" s="8" t="inlineStr">
        <is>
          <t>EQ-006,007,009,010,011,012,013,015</t>
        </is>
      </c>
    </row>
    <row r="26">
      <c r="A26" s="39" t="inlineStr">
        <is>
          <t>A22</t>
        </is>
      </c>
      <c r="B26" s="6" t="inlineStr">
        <is>
          <t>1.5.2</t>
        </is>
      </c>
      <c r="C26" s="6" t="inlineStr">
        <is>
          <t>Freight &amp; Customs — EUR Equipment</t>
        </is>
      </c>
      <c r="D26" s="6" t="inlineStr">
        <is>
          <t>Logistics</t>
        </is>
      </c>
      <c r="E26" s="43" t="n">
        <v>3</v>
      </c>
      <c r="F26" s="43" t="inlineStr">
        <is>
          <t>A18,A21</t>
        </is>
      </c>
      <c r="G26" s="43" t="n">
        <v>26</v>
      </c>
      <c r="H26" s="43" t="n">
        <v>28</v>
      </c>
      <c r="I26" s="43" t="n">
        <v>26</v>
      </c>
      <c r="J26" s="43" t="n">
        <v>28</v>
      </c>
      <c r="K26" s="6">
        <f>I26-G26</f>
        <v/>
      </c>
      <c r="L26" s="6">
        <f>IF(K26=0,"YES","NO")</f>
        <v/>
      </c>
      <c r="M26" s="40" t="inlineStr">
        <is>
          <t>LOW</t>
        </is>
      </c>
      <c r="N26" s="8" t="inlineStr">
        <is>
          <t>Road/air freight; customs clearance EUR items</t>
        </is>
      </c>
    </row>
    <row r="27">
      <c r="A27" s="39" t="inlineStr">
        <is>
          <t>A23</t>
        </is>
      </c>
      <c r="B27" s="6" t="inlineStr">
        <is>
          <t>1.5.1</t>
        </is>
      </c>
      <c r="C27" s="6" t="inlineStr">
        <is>
          <t>Freight &amp; Customs — JPY/EQ-002 (CRITICAL)</t>
        </is>
      </c>
      <c r="D27" s="6" t="inlineStr">
        <is>
          <t>Logistics</t>
        </is>
      </c>
      <c r="E27" s="43" t="n">
        <v>3</v>
      </c>
      <c r="F27" s="43" t="inlineStr">
        <is>
          <t>A15</t>
        </is>
      </c>
      <c r="G27" s="43" t="n">
        <v>33</v>
      </c>
      <c r="H27" s="43" t="n">
        <v>35</v>
      </c>
      <c r="I27" s="43" t="n">
        <v>33</v>
      </c>
      <c r="J27" s="43" t="n">
        <v>35</v>
      </c>
      <c r="K27" s="6">
        <f>I27-G27</f>
        <v/>
      </c>
      <c r="L27" s="6">
        <f>IF(K27=0,"YES","NO")</f>
        <v/>
      </c>
      <c r="M27" s="46" t="inlineStr">
        <is>
          <t>MOD</t>
        </is>
      </c>
      <c r="N27" s="8" t="inlineStr">
        <is>
          <t>CRITICAL: sea freight after Pfeiffer FAT</t>
        </is>
      </c>
    </row>
    <row r="28">
      <c r="A28" s="39" t="inlineStr">
        <is>
          <t>A24</t>
        </is>
      </c>
      <c r="B28" s="6" t="inlineStr">
        <is>
          <t>1.5.1</t>
        </is>
      </c>
      <c r="C28" s="6" t="inlineStr">
        <is>
          <t>Freight &amp; Customs — JPY Other (TEL/Daikin)</t>
        </is>
      </c>
      <c r="D28" s="6" t="inlineStr">
        <is>
          <t>Logistics</t>
        </is>
      </c>
      <c r="E28" s="43" t="n">
        <v>3</v>
      </c>
      <c r="F28" s="43" t="inlineStr">
        <is>
          <t>A17</t>
        </is>
      </c>
      <c r="G28" s="43" t="n">
        <v>35</v>
      </c>
      <c r="H28" s="43" t="n">
        <v>37</v>
      </c>
      <c r="I28" s="43" t="n">
        <v>37</v>
      </c>
      <c r="J28" s="43" t="n">
        <v>39</v>
      </c>
      <c r="K28" s="6">
        <f>I28-G28</f>
        <v/>
      </c>
      <c r="L28" s="6">
        <f>IF(K28=0,"YES","NO")</f>
        <v/>
      </c>
      <c r="M28" s="46" t="inlineStr">
        <is>
          <t>MOD</t>
        </is>
      </c>
      <c r="N28" s="8" t="inlineStr">
        <is>
          <t>TEL/Daikin/Daifuku sea freight</t>
        </is>
      </c>
    </row>
    <row r="29">
      <c r="A29" s="39" t="inlineStr">
        <is>
          <t>A25</t>
        </is>
      </c>
      <c r="B29" s="6" t="inlineStr">
        <is>
          <t>1.7.1</t>
        </is>
      </c>
      <c r="C29" s="6" t="inlineStr">
        <is>
          <t>EQ-014 RTP Installation</t>
        </is>
      </c>
      <c r="D29" s="6" t="inlineStr">
        <is>
          <t>Installation</t>
        </is>
      </c>
      <c r="E29" s="43" t="n">
        <v>2</v>
      </c>
      <c r="F29" s="43" t="inlineStr">
        <is>
          <t>A16,A12,A14</t>
        </is>
      </c>
      <c r="G29" s="43" t="n">
        <v>31</v>
      </c>
      <c r="H29" s="43" t="n">
        <v>32</v>
      </c>
      <c r="I29" s="43" t="n">
        <v>32</v>
      </c>
      <c r="J29" s="43" t="n">
        <v>33</v>
      </c>
      <c r="K29" s="6">
        <f>I29-G29</f>
        <v/>
      </c>
      <c r="L29" s="6">
        <f>IF(K29=0,"YES","NO")</f>
        <v/>
      </c>
      <c r="M29" s="40" t="inlineStr">
        <is>
          <t>LOW</t>
        </is>
      </c>
      <c r="N29" s="8" t="inlineStr">
        <is>
          <t>RTP installed before furnaces</t>
        </is>
      </c>
    </row>
    <row r="30">
      <c r="A30" s="39" t="inlineStr">
        <is>
          <t>A26</t>
        </is>
      </c>
      <c r="B30" s="6" t="inlineStr">
        <is>
          <t>1.7.3</t>
        </is>
      </c>
      <c r="C30" s="6" t="inlineStr">
        <is>
          <t>EQ-005 Robot Install &amp; MES Integration</t>
        </is>
      </c>
      <c r="D30" s="6" t="inlineStr">
        <is>
          <t>Installation/IT</t>
        </is>
      </c>
      <c r="E30" s="43" t="n">
        <v>3</v>
      </c>
      <c r="F30" s="43" t="inlineStr">
        <is>
          <t>A19,A12</t>
        </is>
      </c>
      <c r="G30" s="43" t="n">
        <v>22</v>
      </c>
      <c r="H30" s="43" t="n">
        <v>24</v>
      </c>
      <c r="I30" s="43" t="n">
        <v>22</v>
      </c>
      <c r="J30" s="43" t="n">
        <v>24</v>
      </c>
      <c r="K30" s="6">
        <f>I30-G30</f>
        <v/>
      </c>
      <c r="L30" s="6">
        <f>IF(K30=0,"YES","NO")</f>
        <v/>
      </c>
      <c r="M30" s="46" t="inlineStr">
        <is>
          <t>MOD</t>
        </is>
      </c>
      <c r="N30" s="8" t="inlineStr">
        <is>
          <t>MES integration — critical dependency</t>
        </is>
      </c>
    </row>
    <row r="31">
      <c r="A31" s="39" t="inlineStr">
        <is>
          <t>A27</t>
        </is>
      </c>
      <c r="B31" s="6" t="inlineStr">
        <is>
          <t>1.7.2</t>
        </is>
      </c>
      <c r="C31" s="6" t="inlineStr">
        <is>
          <t>EQ-003/004 Furnace Installation</t>
        </is>
      </c>
      <c r="D31" s="6" t="inlineStr">
        <is>
          <t>Installation</t>
        </is>
      </c>
      <c r="E31" s="43" t="n">
        <v>3</v>
      </c>
      <c r="F31" s="43" t="inlineStr">
        <is>
          <t>A18,A22,A13</t>
        </is>
      </c>
      <c r="G31" s="43" t="n">
        <v>29</v>
      </c>
      <c r="H31" s="43" t="n">
        <v>31</v>
      </c>
      <c r="I31" s="43" t="n">
        <v>29</v>
      </c>
      <c r="J31" s="43" t="n">
        <v>31</v>
      </c>
      <c r="K31" s="6">
        <f>I31-G31</f>
        <v/>
      </c>
      <c r="L31" s="6">
        <f>IF(K31=0,"YES","NO")</f>
        <v/>
      </c>
      <c r="M31" s="40" t="inlineStr">
        <is>
          <t>LOW</t>
        </is>
      </c>
      <c r="N31" s="8" t="inlineStr">
        <is>
          <t>Crane lift; N2 purge connection</t>
        </is>
      </c>
    </row>
    <row r="32">
      <c r="A32" s="39" t="inlineStr">
        <is>
          <t>A28</t>
        </is>
      </c>
      <c r="B32" s="6" t="inlineStr">
        <is>
          <t>1.7.6</t>
        </is>
      </c>
      <c r="C32" s="6" t="inlineStr">
        <is>
          <t>EQ-002 TMP Installation (CRITICAL)</t>
        </is>
      </c>
      <c r="D32" s="6" t="inlineStr">
        <is>
          <t>Installation/Pfeiffer</t>
        </is>
      </c>
      <c r="E32" s="43" t="n">
        <v>2</v>
      </c>
      <c r="F32" s="43" t="inlineStr">
        <is>
          <t>A23</t>
        </is>
      </c>
      <c r="G32" s="43" t="n">
        <v>36</v>
      </c>
      <c r="H32" s="43" t="n">
        <v>37</v>
      </c>
      <c r="I32" s="43" t="n">
        <v>36</v>
      </c>
      <c r="J32" s="43" t="n">
        <v>37</v>
      </c>
      <c r="K32" s="6">
        <f>I32-G32</f>
        <v/>
      </c>
      <c r="L32" s="6">
        <f>IF(K32=0,"YES","NO")</f>
        <v/>
      </c>
      <c r="M32" s="73" t="inlineStr">
        <is>
          <t>CRIT</t>
        </is>
      </c>
      <c r="N32" s="8" t="inlineStr">
        <is>
          <t>CRITICAL PATH: TMPs installed week 36-37</t>
        </is>
      </c>
    </row>
    <row r="33">
      <c r="A33" s="39" t="inlineStr">
        <is>
          <t>A29</t>
        </is>
      </c>
      <c r="B33" s="6" t="inlineStr">
        <is>
          <t>1.7.7</t>
        </is>
      </c>
      <c r="C33" s="6" t="inlineStr">
        <is>
          <t>EQ-008 Bulk Gas Final Installation</t>
        </is>
      </c>
      <c r="D33" s="6" t="inlineStr">
        <is>
          <t>Linde/Facilities</t>
        </is>
      </c>
      <c r="E33" s="43" t="n">
        <v>2</v>
      </c>
      <c r="F33" s="43" t="inlineStr">
        <is>
          <t>A20,A11</t>
        </is>
      </c>
      <c r="G33" s="43" t="n">
        <v>40</v>
      </c>
      <c r="H33" s="43" t="n">
        <v>41</v>
      </c>
      <c r="I33" s="43" t="n">
        <v>40</v>
      </c>
      <c r="J33" s="43" t="n">
        <v>41</v>
      </c>
      <c r="K33" s="6">
        <f>I33-G33</f>
        <v/>
      </c>
      <c r="L33" s="6">
        <f>IF(K33=0,"YES","NO")</f>
        <v/>
      </c>
      <c r="M33" s="46" t="inlineStr">
        <is>
          <t>MOD</t>
        </is>
      </c>
      <c r="N33" s="8" t="inlineStr">
        <is>
          <t>Permit must be closed; bulk vessel on-site</t>
        </is>
      </c>
    </row>
    <row r="34">
      <c r="A34" s="39" t="inlineStr">
        <is>
          <t>A30</t>
        </is>
      </c>
      <c r="B34" s="6" t="inlineStr">
        <is>
          <t>1.7.4</t>
        </is>
      </c>
      <c r="C34" s="6" t="inlineStr">
        <is>
          <t>EQ-006 Daifuku Conveyor Install</t>
        </is>
      </c>
      <c r="D34" s="6" t="inlineStr">
        <is>
          <t>Daifuku/Civil</t>
        </is>
      </c>
      <c r="E34" s="43" t="n">
        <v>4</v>
      </c>
      <c r="F34" s="43" t="inlineStr">
        <is>
          <t>A24,A12</t>
        </is>
      </c>
      <c r="G34" s="43" t="n">
        <v>38</v>
      </c>
      <c r="H34" s="43" t="n">
        <v>41</v>
      </c>
      <c r="I34" s="43" t="n">
        <v>38</v>
      </c>
      <c r="J34" s="43" t="n">
        <v>41</v>
      </c>
      <c r="K34" s="6">
        <f>I34-G34</f>
        <v/>
      </c>
      <c r="L34" s="6">
        <f>IF(K34=0,"YES","NO")</f>
        <v/>
      </c>
      <c r="M34" s="73" t="inlineStr">
        <is>
          <t>HIGH</t>
        </is>
      </c>
      <c r="N34" s="8" t="inlineStr">
        <is>
          <t>Single-source; civil interface frozen Wk 6</t>
        </is>
      </c>
    </row>
    <row r="35">
      <c r="A35" s="39" t="inlineStr">
        <is>
          <t>A31</t>
        </is>
      </c>
      <c r="B35" s="6" t="inlineStr">
        <is>
          <t>1.7.5</t>
        </is>
      </c>
      <c r="C35" s="6" t="inlineStr">
        <is>
          <t>Utility Tie-In — All Equipment</t>
        </is>
      </c>
      <c r="D35" s="6" t="inlineStr">
        <is>
          <t>Facilities</t>
        </is>
      </c>
      <c r="E35" s="43" t="n">
        <v>4</v>
      </c>
      <c r="F35" s="43" t="inlineStr">
        <is>
          <t>A25,A26,A27,A28</t>
        </is>
      </c>
      <c r="G35" s="43" t="n">
        <v>38</v>
      </c>
      <c r="H35" s="43" t="n">
        <v>41</v>
      </c>
      <c r="I35" s="43" t="n">
        <v>38</v>
      </c>
      <c r="J35" s="43" t="n">
        <v>41</v>
      </c>
      <c r="K35" s="6">
        <f>I35-G35</f>
        <v/>
      </c>
      <c r="L35" s="6">
        <f>IF(K35=0,"YES","NO")</f>
        <v/>
      </c>
      <c r="M35" s="40" t="inlineStr">
        <is>
          <t>LOW</t>
        </is>
      </c>
      <c r="N35" s="8" t="inlineStr">
        <is>
          <t>All utilities connected; interlock test</t>
        </is>
      </c>
    </row>
    <row r="36">
      <c r="A36" s="39" t="inlineStr">
        <is>
          <t>A32</t>
        </is>
      </c>
      <c r="B36" s="6" t="inlineStr">
        <is>
          <t>1.3.2</t>
        </is>
      </c>
      <c r="C36" s="6" t="inlineStr">
        <is>
          <t>FAT Protocol Development</t>
        </is>
      </c>
      <c r="D36" s="6" t="inlineStr">
        <is>
          <t>Process Eng</t>
        </is>
      </c>
      <c r="E36" s="43" t="n">
        <v>3</v>
      </c>
      <c r="F36" s="43" t="inlineStr">
        <is>
          <t>A03</t>
        </is>
      </c>
      <c r="G36" s="43" t="n">
        <v>4</v>
      </c>
      <c r="H36" s="43" t="n">
        <v>6</v>
      </c>
      <c r="I36" s="43" t="n">
        <v>4</v>
      </c>
      <c r="J36" s="43" t="n">
        <v>6</v>
      </c>
      <c r="K36" s="6">
        <f>I36-G36</f>
        <v/>
      </c>
      <c r="L36" s="6">
        <f>IF(K36=0,"YES","NO")</f>
        <v/>
      </c>
      <c r="M36" s="40" t="inlineStr">
        <is>
          <t>LOW</t>
        </is>
      </c>
      <c r="N36" s="8" t="inlineStr">
        <is>
          <t>FAT protocols issued to all suppliers</t>
        </is>
      </c>
    </row>
    <row r="37">
      <c r="A37" s="39" t="inlineStr">
        <is>
          <t>A33</t>
        </is>
      </c>
      <c r="B37" s="6" t="inlineStr">
        <is>
          <t>1.3.5</t>
        </is>
      </c>
      <c r="C37" s="6" t="inlineStr">
        <is>
          <t>MES/SCADA/DCS Integration Spec</t>
        </is>
      </c>
      <c r="D37" s="6" t="inlineStr">
        <is>
          <t>Controls/IT</t>
        </is>
      </c>
      <c r="E37" s="43" t="n">
        <v>4</v>
      </c>
      <c r="F37" s="43" t="inlineStr">
        <is>
          <t>A03</t>
        </is>
      </c>
      <c r="G37" s="43" t="n">
        <v>4</v>
      </c>
      <c r="H37" s="43" t="n">
        <v>7</v>
      </c>
      <c r="I37" s="43" t="n">
        <v>4</v>
      </c>
      <c r="J37" s="43" t="n">
        <v>7</v>
      </c>
      <c r="K37" s="6">
        <f>I37-G37</f>
        <v/>
      </c>
      <c r="L37" s="6">
        <f>IF(K37=0,"YES","NO")</f>
        <v/>
      </c>
      <c r="M37" s="46" t="inlineStr">
        <is>
          <t>MOD</t>
        </is>
      </c>
      <c r="N37" s="8" t="inlineStr">
        <is>
          <t>Integration spec required before FAT testing</t>
        </is>
      </c>
    </row>
    <row r="38">
      <c r="A38" s="39" t="inlineStr">
        <is>
          <t>A34</t>
        </is>
      </c>
      <c r="B38" s="6" t="inlineStr">
        <is>
          <t>1.8.1</t>
        </is>
      </c>
      <c r="C38" s="6" t="inlineStr">
        <is>
          <t>G4 Qualification — EQ-014 RTP</t>
        </is>
      </c>
      <c r="D38" s="6" t="inlineStr">
        <is>
          <t>Process Eng</t>
        </is>
      </c>
      <c r="E38" s="43" t="n">
        <v>3</v>
      </c>
      <c r="F38" s="43" t="inlineStr">
        <is>
          <t>A25,A31</t>
        </is>
      </c>
      <c r="G38" s="43" t="n">
        <v>42</v>
      </c>
      <c r="H38" s="43" t="n">
        <v>44</v>
      </c>
      <c r="I38" s="43" t="n">
        <v>42</v>
      </c>
      <c r="J38" s="43" t="n">
        <v>44</v>
      </c>
      <c r="K38" s="6">
        <f>I38-G38</f>
        <v/>
      </c>
      <c r="L38" s="6">
        <f>IF(K38=0,"YES","NO")</f>
        <v/>
      </c>
      <c r="M38" s="40" t="inlineStr">
        <is>
          <t>LOW</t>
        </is>
      </c>
      <c r="N38" s="8" t="inlineStr">
        <is>
          <t>First tool qualified</t>
        </is>
      </c>
    </row>
    <row r="39">
      <c r="A39" s="39" t="inlineStr">
        <is>
          <t>A35</t>
        </is>
      </c>
      <c r="B39" s="6" t="inlineStr">
        <is>
          <t>1.8.2</t>
        </is>
      </c>
      <c r="C39" s="6" t="inlineStr">
        <is>
          <t>G4 Qualification — Furnaces</t>
        </is>
      </c>
      <c r="D39" s="6" t="inlineStr">
        <is>
          <t>Process Eng</t>
        </is>
      </c>
      <c r="E39" s="43" t="n">
        <v>4</v>
      </c>
      <c r="F39" s="43" t="inlineStr">
        <is>
          <t>A27,A31</t>
        </is>
      </c>
      <c r="G39" s="43" t="n">
        <v>42</v>
      </c>
      <c r="H39" s="43" t="n">
        <v>45</v>
      </c>
      <c r="I39" s="43" t="n">
        <v>42</v>
      </c>
      <c r="J39" s="43" t="n">
        <v>45</v>
      </c>
      <c r="K39" s="6">
        <f>I39-G39</f>
        <v/>
      </c>
      <c r="L39" s="6">
        <f>IF(K39=0,"YES","NO")</f>
        <v/>
      </c>
      <c r="M39" s="46" t="inlineStr">
        <is>
          <t>MOD</t>
        </is>
      </c>
      <c r="N39" s="8" t="inlineStr">
        <is>
          <t>Temperature uniformity certification</t>
        </is>
      </c>
    </row>
    <row r="40">
      <c r="A40" s="39" t="inlineStr">
        <is>
          <t>A36</t>
        </is>
      </c>
      <c r="B40" s="6" t="inlineStr">
        <is>
          <t>1.8.3</t>
        </is>
      </c>
      <c r="C40" s="6" t="inlineStr">
        <is>
          <t>G4 Qualification — Robots &amp; MES</t>
        </is>
      </c>
      <c r="D40" s="6" t="inlineStr">
        <is>
          <t>Process Eng</t>
        </is>
      </c>
      <c r="E40" s="43" t="n">
        <v>3</v>
      </c>
      <c r="F40" s="43" t="inlineStr">
        <is>
          <t>A26,A31</t>
        </is>
      </c>
      <c r="G40" s="43" t="n">
        <v>42</v>
      </c>
      <c r="H40" s="43" t="n">
        <v>44</v>
      </c>
      <c r="I40" s="43" t="n">
        <v>42</v>
      </c>
      <c r="J40" s="43" t="n">
        <v>44</v>
      </c>
      <c r="K40" s="6">
        <f>I40-G40</f>
        <v/>
      </c>
      <c r="L40" s="6">
        <f>IF(K40=0,"YES","NO")</f>
        <v/>
      </c>
      <c r="M40" s="46" t="inlineStr">
        <is>
          <t>MOD</t>
        </is>
      </c>
      <c r="N40" s="8" t="inlineStr">
        <is>
          <t>Robot repeatability + MES validation</t>
        </is>
      </c>
    </row>
    <row r="41">
      <c r="A41" s="39" t="inlineStr">
        <is>
          <t>A37</t>
        </is>
      </c>
      <c r="B41" s="6" t="inlineStr">
        <is>
          <t>1.8.4</t>
        </is>
      </c>
      <c r="C41" s="6" t="inlineStr">
        <is>
          <t>G4 Qualification — All Remaining</t>
        </is>
      </c>
      <c r="D41" s="6" t="inlineStr">
        <is>
          <t>Process Eng</t>
        </is>
      </c>
      <c r="E41" s="43" t="n">
        <v>3</v>
      </c>
      <c r="F41" s="43" t="inlineStr">
        <is>
          <t>A28,A29,A30,A31</t>
        </is>
      </c>
      <c r="G41" s="43" t="n">
        <v>42</v>
      </c>
      <c r="H41" s="43" t="n">
        <v>44</v>
      </c>
      <c r="I41" s="43" t="n">
        <v>42</v>
      </c>
      <c r="J41" s="43" t="n">
        <v>44</v>
      </c>
      <c r="K41" s="6">
        <f>I41-G41</f>
        <v/>
      </c>
      <c r="L41" s="6">
        <f>IF(K41=0,"YES","NO")</f>
        <v/>
      </c>
      <c r="M41" s="40" t="inlineStr">
        <is>
          <t>LOW</t>
        </is>
      </c>
      <c r="N41" s="8" t="inlineStr">
        <is>
          <t>All 15 platforms qualified</t>
        </is>
      </c>
    </row>
    <row r="42">
      <c r="A42" s="39" t="inlineStr">
        <is>
          <t>A38</t>
        </is>
      </c>
      <c r="B42" s="6" t="inlineStr">
        <is>
          <t>1.8.5</t>
        </is>
      </c>
      <c r="C42" s="6" t="inlineStr">
        <is>
          <t>SOP Documentation &amp; Operator Training</t>
        </is>
      </c>
      <c r="D42" s="6" t="inlineStr">
        <is>
          <t>Training/Ops</t>
        </is>
      </c>
      <c r="E42" s="43" t="n">
        <v>3</v>
      </c>
      <c r="F42" s="43" t="inlineStr">
        <is>
          <t>A34,A35,A36,A37</t>
        </is>
      </c>
      <c r="G42" s="43" t="n">
        <v>45</v>
      </c>
      <c r="H42" s="43" t="n">
        <v>47</v>
      </c>
      <c r="I42" s="43" t="n">
        <v>44</v>
      </c>
      <c r="J42" s="43" t="n">
        <v>46</v>
      </c>
      <c r="K42" s="6">
        <f>I42-G42</f>
        <v/>
      </c>
      <c r="L42" s="6">
        <f>IF(K42=0,"YES","NO")</f>
        <v/>
      </c>
      <c r="M42" s="40" t="inlineStr">
        <is>
          <t>LOW</t>
        </is>
      </c>
      <c r="N42" s="8" t="inlineStr">
        <is>
          <t>SOPs issued; all operators certified</t>
        </is>
      </c>
    </row>
    <row r="43">
      <c r="A43" s="39" t="inlineStr">
        <is>
          <t>A39</t>
        </is>
      </c>
      <c r="B43" s="6" t="inlineStr">
        <is>
          <t>1.8.7</t>
        </is>
      </c>
      <c r="C43" s="6" t="inlineStr">
        <is>
          <t>G5 Production Release — Program Close</t>
        </is>
      </c>
      <c r="D43" s="6" t="inlineStr">
        <is>
          <t>PM/Ops</t>
        </is>
      </c>
      <c r="E43" s="43" t="n">
        <v>2</v>
      </c>
      <c r="F43" s="43" t="inlineStr">
        <is>
          <t>A38</t>
        </is>
      </c>
      <c r="G43" s="43" t="n">
        <v>46</v>
      </c>
      <c r="H43" s="43" t="n">
        <v>47</v>
      </c>
      <c r="I43" s="43" t="n">
        <v>46</v>
      </c>
      <c r="J43" s="43" t="n">
        <v>47</v>
      </c>
      <c r="K43" s="6">
        <f>I43-G43</f>
        <v/>
      </c>
      <c r="L43" s="6">
        <f>IF(K43=0,"YES","NO")</f>
        <v/>
      </c>
      <c r="M43" s="40" t="inlineStr">
        <is>
          <t>LOW</t>
        </is>
      </c>
      <c r="N43" s="8" t="inlineStr">
        <is>
          <t>Formal handover; program closed</t>
        </is>
      </c>
    </row>
    <row r="46" ht="18" customHeight="1">
      <c r="A46" s="74" t="inlineStr">
        <is>
          <t>CRITICAL PATH SUMMARY</t>
        </is>
      </c>
    </row>
    <row r="47">
      <c r="A47" s="6" t="inlineStr">
        <is>
          <t>Total program duration (critical path, weeks)</t>
        </is>
      </c>
      <c r="B47" s="8">
        <f>MAX(H5:H43)</f>
        <v/>
      </c>
    </row>
    <row r="48">
      <c r="A48" s="6" t="inlineStr">
        <is>
          <t>Number of critical path activities (Float = 0)</t>
        </is>
      </c>
      <c r="B48" s="8">
        <f>COUNTIF(K5:K43,0)</f>
        <v/>
      </c>
    </row>
    <row r="49">
      <c r="A49" s="6" t="inlineStr">
        <is>
          <t>Critical path sequence</t>
        </is>
      </c>
      <c r="B49" s="8" t="inlineStr">
        <is>
          <t>A01 → A06 → A15 → A23 → A28 → A31 → A34/35/36/37 → A38 → A39</t>
        </is>
      </c>
    </row>
    <row r="50">
      <c r="A50" s="6" t="inlineStr">
        <is>
          <t>Longest chain</t>
        </is>
      </c>
      <c r="B50" s="8" t="inlineStr">
        <is>
          <t>EQ-002 Pfeiffer TMP: PO → 26-wk mfg → FAT → freight → install → PQ; spans Weeks 6-44</t>
        </is>
      </c>
    </row>
    <row r="51">
      <c r="A51" s="6" t="inlineStr">
        <is>
          <t>Key schedule risk</t>
        </is>
      </c>
      <c r="B51" s="8" t="inlineStr">
        <is>
          <t>A11 Gas System / Hazmat Permit — 12-week permit must start Week 5; any delay blocks gas system install</t>
        </is>
      </c>
    </row>
    <row r="52">
      <c r="A52" s="6" t="inlineStr">
        <is>
          <t>Key commercial risk</t>
        </is>
      </c>
      <c r="B52" s="8" t="inlineStr">
        <is>
          <t>A06 EQ-002 Pfeiffer PO — single-source; no float; 30-day PO delay = 30-day program delay</t>
        </is>
      </c>
    </row>
  </sheetData>
  <mergeCells count="3">
    <mergeCell ref="A46:B46"/>
    <mergeCell ref="A2:N2"/>
    <mergeCell ref="A1:N1"/>
  </mergeCells>
  <pageMargins left="0.75" right="0.75" top="1" bottom="1" header="0.5" footer="0.5"/>
</worksheet>
</file>

<file path=xl/worksheets/sheet12.xml><?xml version="1.0" encoding="utf-8"?>
<worksheet xmlns="http://schemas.openxmlformats.org/spreadsheetml/2006/main">
  <sheetPr>
    <tabColor rgb="002E7D32"/>
    <outlinePr summaryBelow="1" summaryRight="1"/>
    <pageSetUpPr/>
  </sheetPr>
  <dimension ref="A1:G28"/>
  <sheetViews>
    <sheetView workbookViewId="0">
      <pane ySplit="14" topLeftCell="A15" activePane="bottomLeft" state="frozen"/>
      <selection pane="bottomLeft" activeCell="A1" sqref="A1"/>
    </sheetView>
  </sheetViews>
  <sheetFormatPr baseColWidth="8" defaultRowHeight="15"/>
  <cols>
    <col width="6" customWidth="1" min="1" max="1"/>
    <col width="34" customWidth="1" min="2" max="2"/>
    <col width="8" customWidth="1" min="3" max="3"/>
    <col width="12" customWidth="1" min="4" max="4"/>
    <col width="15" customWidth="1" min="5" max="5"/>
    <col width="22" customWidth="1" min="6" max="6"/>
    <col width="55" customWidth="1" min="7" max="7"/>
  </cols>
  <sheetData>
    <row r="1" ht="26" customHeight="1">
      <c r="A1" s="69" t="inlineStr">
        <is>
          <t>S08 — Program Milestone Roadmap — Greenfield Expansion Phase II</t>
        </is>
      </c>
    </row>
    <row r="2" ht="15" customHeight="1">
      <c r="A2" s="2" t="inlineStr">
        <is>
          <t>Phase-gate roadmap from AR approval to production release | Owner: Sourabh Tarodekar | All dates Apr-Dec 2025 | Gates: G0 (Concept) -&gt; G5 (Production Release)</t>
        </is>
      </c>
    </row>
    <row r="4" ht="18" customHeight="1">
      <c r="A4" s="74" t="inlineStr">
        <is>
          <t>PROGRAM GATES</t>
        </is>
      </c>
    </row>
    <row r="5" ht="30" customHeight="1">
      <c r="A5" s="70" t="inlineStr">
        <is>
          <t>Gate</t>
        </is>
      </c>
      <c r="B5" s="70" t="inlineStr">
        <is>
          <t>Month</t>
        </is>
      </c>
      <c r="C5" s="70" t="inlineStr">
        <is>
          <t>Status Label</t>
        </is>
      </c>
    </row>
    <row r="6">
      <c r="A6" s="6" t="inlineStr">
        <is>
          <t>G0+G1</t>
        </is>
      </c>
      <c r="B6" s="6" t="inlineStr">
        <is>
          <t>Apr-25</t>
        </is>
      </c>
      <c r="C6" s="6" t="inlineStr">
        <is>
          <t>Approved</t>
        </is>
      </c>
    </row>
    <row r="7">
      <c r="A7" s="6" t="inlineStr">
        <is>
          <t>G2</t>
        </is>
      </c>
      <c r="B7" s="6" t="inlineStr">
        <is>
          <t>Aug-25</t>
        </is>
      </c>
      <c r="C7" s="6" t="inlineStr">
        <is>
          <t>FAT Complete</t>
        </is>
      </c>
    </row>
    <row r="8">
      <c r="A8" s="6" t="inlineStr">
        <is>
          <t>G3</t>
        </is>
      </c>
      <c r="B8" s="6" t="inlineStr">
        <is>
          <t>Oct-25</t>
        </is>
      </c>
      <c r="C8" s="6" t="inlineStr">
        <is>
          <t>Install</t>
        </is>
      </c>
    </row>
    <row r="9">
      <c r="A9" s="6" t="inlineStr">
        <is>
          <t>G4</t>
        </is>
      </c>
      <c r="B9" s="6" t="inlineStr">
        <is>
          <t>Nov-25</t>
        </is>
      </c>
      <c r="C9" s="6" t="inlineStr">
        <is>
          <t>PQ Start</t>
        </is>
      </c>
    </row>
    <row r="10">
      <c r="A10" s="6" t="inlineStr">
        <is>
          <t>G5</t>
        </is>
      </c>
      <c r="B10" s="6" t="inlineStr">
        <is>
          <t>Dec-25</t>
        </is>
      </c>
      <c r="C10" s="6" t="inlineStr">
        <is>
          <t>Production Release</t>
        </is>
      </c>
    </row>
    <row r="12" ht="18" customHeight="1">
      <c r="A12" s="74" t="inlineStr">
        <is>
          <t>KEY PROGRAM MILESTONES</t>
        </is>
      </c>
    </row>
    <row r="13" ht="30" customHeight="1">
      <c r="A13" s="70" t="inlineStr">
        <is>
          <t>#</t>
        </is>
      </c>
      <c r="B13" s="70" t="inlineStr">
        <is>
          <t>Milestone</t>
        </is>
      </c>
      <c r="C13" s="70" t="inlineStr">
        <is>
          <t>Gate</t>
        </is>
      </c>
      <c r="D13" s="70" t="inlineStr">
        <is>
          <t>Target Date</t>
        </is>
      </c>
      <c r="E13" s="70" t="inlineStr">
        <is>
          <t>Status</t>
        </is>
      </c>
      <c r="F13" s="70" t="inlineStr">
        <is>
          <t>Owner</t>
        </is>
      </c>
      <c r="G13" s="70" t="inlineStr">
        <is>
          <t>Notes</t>
        </is>
      </c>
    </row>
    <row r="14">
      <c r="A14" s="6" t="inlineStr">
        <is>
          <t>M01</t>
        </is>
      </c>
      <c r="B14" s="6" t="inlineStr">
        <is>
          <t>AR Approved — Phase II</t>
        </is>
      </c>
      <c r="C14" s="6" t="inlineStr">
        <is>
          <t>G0/G1</t>
        </is>
      </c>
      <c r="D14" s="6" t="inlineStr">
        <is>
          <t>2025-04-07</t>
        </is>
      </c>
      <c r="E14" s="40" t="inlineStr">
        <is>
          <t>APPROVED</t>
        </is>
      </c>
      <c r="F14" s="6" t="inlineStr">
        <is>
          <t>Sourabh Tarodekar</t>
        </is>
      </c>
      <c r="G14" s="8" t="inlineStr">
        <is>
          <t>Long-lead PO authority granted; cost centre CC-4421 open</t>
        </is>
      </c>
    </row>
    <row r="15">
      <c r="A15" s="6" t="inlineStr">
        <is>
          <t>M02</t>
        </is>
      </c>
      <c r="B15" s="6" t="inlineStr">
        <is>
          <t>All Long-Lead POs Placed</t>
        </is>
      </c>
      <c r="C15" s="6" t="inlineStr">
        <is>
          <t>G1</t>
        </is>
      </c>
      <c r="D15" s="6" t="inlineStr">
        <is>
          <t>2025-04-28</t>
        </is>
      </c>
      <c r="E15" s="40" t="inlineStr">
        <is>
          <t>COMPLETE</t>
        </is>
      </c>
      <c r="F15" s="6" t="inlineStr">
        <is>
          <t>Sourcing</t>
        </is>
      </c>
      <c r="G15" s="8" t="inlineStr">
        <is>
          <t>EQ-002,004,008,014 POs placed; FX hedges executed</t>
        </is>
      </c>
    </row>
    <row r="16">
      <c r="A16" s="6" t="inlineStr">
        <is>
          <t>M03</t>
        </is>
      </c>
      <c r="B16" s="6" t="inlineStr">
        <is>
          <t>Site Layout Frozen</t>
        </is>
      </c>
      <c r="C16" s="6" t="inlineStr">
        <is>
          <t>—</t>
        </is>
      </c>
      <c r="D16" s="6" t="inlineStr">
        <is>
          <t>2025-04-14</t>
        </is>
      </c>
      <c r="E16" s="40" t="inlineStr">
        <is>
          <t>APPROVED</t>
        </is>
      </c>
      <c r="F16" s="6" t="inlineStr">
        <is>
          <t>Facilities</t>
        </is>
      </c>
      <c r="G16" s="8" t="inlineStr">
        <is>
          <t>Civil works can proceed; no further layout changes</t>
        </is>
      </c>
    </row>
    <row r="17">
      <c r="A17" s="6" t="inlineStr">
        <is>
          <t>M04</t>
        </is>
      </c>
      <c r="B17" s="6" t="inlineStr">
        <is>
          <t>Hazmat Permit Submitted</t>
        </is>
      </c>
      <c r="C17" s="6" t="inlineStr">
        <is>
          <t>—</t>
        </is>
      </c>
      <c r="D17" s="6" t="inlineStr">
        <is>
          <t>2025-04-14</t>
        </is>
      </c>
      <c r="E17" s="46" t="inlineStr">
        <is>
          <t>IN PROGRESS</t>
        </is>
      </c>
      <c r="F17" s="6" t="inlineStr">
        <is>
          <t>Regulatory</t>
        </is>
      </c>
      <c r="G17" s="8" t="inlineStr">
        <is>
          <t>Permit application filed; 12-wk processing time</t>
        </is>
      </c>
    </row>
    <row r="18">
      <c r="A18" s="6" t="inlineStr">
        <is>
          <t>M05</t>
        </is>
      </c>
      <c r="B18" s="6" t="inlineStr">
        <is>
          <t>All Equipment POs Placed</t>
        </is>
      </c>
      <c r="C18" s="6" t="inlineStr">
        <is>
          <t>G1</t>
        </is>
      </c>
      <c r="D18" s="6" t="inlineStr">
        <is>
          <t>2025-05-12</t>
        </is>
      </c>
      <c r="E18" s="40" t="inlineStr">
        <is>
          <t>COMPLETE</t>
        </is>
      </c>
      <c r="F18" s="6" t="inlineStr">
        <is>
          <t>Sourcing</t>
        </is>
      </c>
      <c r="G18" s="8" t="inlineStr">
        <is>
          <t>Full PO portfolio placed; supplier schedule confirmed</t>
        </is>
      </c>
    </row>
    <row r="19">
      <c r="A19" s="6" t="inlineStr">
        <is>
          <t>M06</t>
        </is>
      </c>
      <c r="B19" s="6" t="inlineStr">
        <is>
          <t>Site Utilities Complete (Elec + Cool)</t>
        </is>
      </c>
      <c r="C19" s="6" t="inlineStr">
        <is>
          <t>—</t>
        </is>
      </c>
      <c r="D19" s="6" t="inlineStr">
        <is>
          <t>2025-08-11</t>
        </is>
      </c>
      <c r="E19" s="75" t="inlineStr">
        <is>
          <t>ON TRACK</t>
        </is>
      </c>
      <c r="F19" s="6" t="inlineStr">
        <is>
          <t>Facilities</t>
        </is>
      </c>
      <c r="G19" s="8" t="inlineStr">
        <is>
          <t>Electrical feeds + glycol loop ready before delivery</t>
        </is>
      </c>
    </row>
    <row r="20">
      <c r="A20" s="6" t="inlineStr">
        <is>
          <t>M07</t>
        </is>
      </c>
      <c r="B20" s="6" t="inlineStr">
        <is>
          <t>Hazmat Permit Received</t>
        </is>
      </c>
      <c r="C20" s="6" t="inlineStr">
        <is>
          <t>—</t>
        </is>
      </c>
      <c r="D20" s="6" t="inlineStr">
        <is>
          <t>2025-07-07</t>
        </is>
      </c>
      <c r="E20" s="75" t="inlineStr">
        <is>
          <t>ON TRACK</t>
        </is>
      </c>
      <c r="F20" s="6" t="inlineStr">
        <is>
          <t>Regulatory</t>
        </is>
      </c>
      <c r="G20" s="8" t="inlineStr">
        <is>
          <t>CRITICAL — blocks gas system install if delayed</t>
        </is>
      </c>
    </row>
    <row r="21">
      <c r="A21" s="6" t="inlineStr">
        <is>
          <t>M08</t>
        </is>
      </c>
      <c r="B21" s="6" t="inlineStr">
        <is>
          <t>EQ-014 AMAT RTP FAT Complete</t>
        </is>
      </c>
      <c r="C21" s="6" t="inlineStr">
        <is>
          <t>G2</t>
        </is>
      </c>
      <c r="D21" s="6" t="inlineStr">
        <is>
          <t>2025-09-22</t>
        </is>
      </c>
      <c r="E21" s="75" t="inlineStr">
        <is>
          <t>ON TRACK</t>
        </is>
      </c>
      <c r="F21" s="6" t="inlineStr">
        <is>
          <t>Engineering</t>
        </is>
      </c>
      <c r="G21" s="8" t="inlineStr">
        <is>
          <t>First FAT complete; highest-value item</t>
        </is>
      </c>
    </row>
    <row r="22">
      <c r="A22" s="6" t="inlineStr">
        <is>
          <t>M09</t>
        </is>
      </c>
      <c r="B22" s="6" t="inlineStr">
        <is>
          <t>EQ-002 Pfeiffer TMP FAT Complete</t>
        </is>
      </c>
      <c r="C22" s="6" t="inlineStr">
        <is>
          <t>G2</t>
        </is>
      </c>
      <c r="D22" s="6" t="inlineStr">
        <is>
          <t>2025-10-20</t>
        </is>
      </c>
      <c r="E22" s="73" t="inlineStr">
        <is>
          <t>CRITICAL PATH</t>
        </is>
      </c>
      <c r="F22" s="6" t="inlineStr">
        <is>
          <t>Engineering / Pfeiffer</t>
        </is>
      </c>
      <c r="G22" s="8" t="inlineStr">
        <is>
          <t>CRITICAL PATH — no float; monitor weekly</t>
        </is>
      </c>
    </row>
    <row r="23">
      <c r="A23" s="6" t="inlineStr">
        <is>
          <t>M10</t>
        </is>
      </c>
      <c r="B23" s="6" t="inlineStr">
        <is>
          <t>All Equipment Delivered to Site</t>
        </is>
      </c>
      <c r="C23" s="6" t="inlineStr">
        <is>
          <t>G3</t>
        </is>
      </c>
      <c r="D23" s="6" t="inlineStr">
        <is>
          <t>2025-10-27</t>
        </is>
      </c>
      <c r="E23" s="75" t="inlineStr">
        <is>
          <t>ON TRACK</t>
        </is>
      </c>
      <c r="F23" s="6" t="inlineStr">
        <is>
          <t>Logistics</t>
        </is>
      </c>
      <c r="G23" s="8" t="inlineStr">
        <is>
          <t>All 15 platforms on-site; receipt inspection complete</t>
        </is>
      </c>
    </row>
    <row r="24">
      <c r="A24" s="6" t="inlineStr">
        <is>
          <t>M11</t>
        </is>
      </c>
      <c r="B24" s="6" t="inlineStr">
        <is>
          <t>All Equipment Installed</t>
        </is>
      </c>
      <c r="C24" s="6" t="inlineStr">
        <is>
          <t>G3</t>
        </is>
      </c>
      <c r="D24" s="6" t="inlineStr">
        <is>
          <t>2025-11-10</t>
        </is>
      </c>
      <c r="E24" s="75" t="inlineStr">
        <is>
          <t>ON TRACK</t>
        </is>
      </c>
      <c r="F24" s="6" t="inlineStr">
        <is>
          <t>Installation</t>
        </is>
      </c>
      <c r="G24" s="8" t="inlineStr">
        <is>
          <t>Mechanical install + utility tie-in complete</t>
        </is>
      </c>
    </row>
    <row r="25">
      <c r="A25" s="6" t="inlineStr">
        <is>
          <t>M12</t>
        </is>
      </c>
      <c r="B25" s="6" t="inlineStr">
        <is>
          <t>G4 Process Qualification Start</t>
        </is>
      </c>
      <c r="C25" s="6" t="inlineStr">
        <is>
          <t>G4</t>
        </is>
      </c>
      <c r="D25" s="6" t="inlineStr">
        <is>
          <t>2025-11-10</t>
        </is>
      </c>
      <c r="E25" s="76" t="inlineStr">
        <is>
          <t>PLANNED</t>
        </is>
      </c>
      <c r="F25" s="6" t="inlineStr">
        <is>
          <t>Process Eng</t>
        </is>
      </c>
      <c r="G25" s="8" t="inlineStr">
        <is>
          <t>PQ begins; first tools: EQ-014 RTP, EQ-003 Furnace</t>
        </is>
      </c>
    </row>
    <row r="26">
      <c r="A26" s="6" t="inlineStr">
        <is>
          <t>M13</t>
        </is>
      </c>
      <c r="B26" s="6" t="inlineStr">
        <is>
          <t>Full Process Qualification Complete</t>
        </is>
      </c>
      <c r="C26" s="6" t="inlineStr">
        <is>
          <t>G4</t>
        </is>
      </c>
      <c r="D26" s="6" t="inlineStr">
        <is>
          <t>2025-12-01</t>
        </is>
      </c>
      <c r="E26" s="76" t="inlineStr">
        <is>
          <t>PLANNED</t>
        </is>
      </c>
      <c r="F26" s="6" t="inlineStr">
        <is>
          <t>Process Eng</t>
        </is>
      </c>
      <c r="G26" s="8" t="inlineStr">
        <is>
          <t>All 15 platforms in qualified state; PQ reports issued</t>
        </is>
      </c>
    </row>
    <row r="27">
      <c r="A27" s="6" t="inlineStr">
        <is>
          <t>M14</t>
        </is>
      </c>
      <c r="B27" s="6" t="inlineStr">
        <is>
          <t>Operator Training Complete</t>
        </is>
      </c>
      <c r="C27" s="6" t="inlineStr">
        <is>
          <t>—</t>
        </is>
      </c>
      <c r="D27" s="6" t="inlineStr">
        <is>
          <t>2025-12-08</t>
        </is>
      </c>
      <c r="E27" s="76" t="inlineStr">
        <is>
          <t>PLANNED</t>
        </is>
      </c>
      <c r="F27" s="6" t="inlineStr">
        <is>
          <t>Training / Ops</t>
        </is>
      </c>
      <c r="G27" s="8" t="inlineStr">
        <is>
          <t>All operators trained + certified on SOPs</t>
        </is>
      </c>
    </row>
    <row r="28">
      <c r="A28" s="6" t="inlineStr">
        <is>
          <t>M15</t>
        </is>
      </c>
      <c r="B28" s="6" t="inlineStr">
        <is>
          <t>G5 Production Release</t>
        </is>
      </c>
      <c r="C28" s="6" t="inlineStr">
        <is>
          <t>G5</t>
        </is>
      </c>
      <c r="D28" s="6" t="inlineStr">
        <is>
          <t>2025-12-22</t>
        </is>
      </c>
      <c r="E28" s="76" t="inlineStr">
        <is>
          <t>PLANNED</t>
        </is>
      </c>
      <c r="F28" s="6" t="inlineStr">
        <is>
          <t>Sourabh Tarodekar</t>
        </is>
      </c>
      <c r="G28" s="8" t="inlineStr">
        <is>
          <t>Formal handover to Operations; program closed</t>
        </is>
      </c>
    </row>
  </sheetData>
  <mergeCells count="4">
    <mergeCell ref="A4:C4"/>
    <mergeCell ref="A2:G2"/>
    <mergeCell ref="A1:G1"/>
    <mergeCell ref="A12:G12"/>
  </mergeCells>
  <pageMargins left="0.75" right="0.75" top="1" bottom="1" header="0.5" footer="0.5"/>
</worksheet>
</file>

<file path=xl/worksheets/sheet13.xml><?xml version="1.0" encoding="utf-8"?>
<worksheet xmlns="http://schemas.openxmlformats.org/spreadsheetml/2006/main">
  <sheetPr>
    <tabColor rgb="002E7D32"/>
    <outlinePr summaryBelow="1" summaryRight="1"/>
    <pageSetUpPr/>
  </sheetPr>
  <dimension ref="A1:R30"/>
  <sheetViews>
    <sheetView workbookViewId="0">
      <pane ySplit="5" topLeftCell="A6" activePane="bottomLeft" state="frozen"/>
      <selection pane="bottomLeft" activeCell="A1" sqref="A1"/>
    </sheetView>
  </sheetViews>
  <sheetFormatPr baseColWidth="8" defaultRowHeight="15"/>
  <cols>
    <col width="10" customWidth="1" min="1" max="1"/>
    <col width="32" customWidth="1" min="2" max="2"/>
    <col width="16" customWidth="1" min="3" max="3"/>
    <col width="8" customWidth="1" min="4" max="4"/>
    <col width="8" customWidth="1" min="5" max="5"/>
    <col width="9" customWidth="1" min="6" max="6"/>
    <col width="9" customWidth="1" min="7" max="7"/>
    <col width="9" customWidth="1" min="8" max="8"/>
    <col width="8" customWidth="1" min="9" max="9"/>
    <col width="10" customWidth="1" min="10" max="10"/>
    <col width="9" customWidth="1" min="11" max="11"/>
    <col width="11" customWidth="1" min="12" max="12"/>
    <col width="10" customWidth="1" min="13" max="13"/>
    <col width="9" customWidth="1" min="14" max="14"/>
    <col width="8" customWidth="1" min="15" max="15"/>
    <col width="10" customWidth="1" min="16" max="16"/>
    <col width="26" customWidth="1" min="17" max="17"/>
    <col width="55" customWidth="1" min="18" max="18"/>
  </cols>
  <sheetData>
    <row r="1" ht="26" customHeight="1">
      <c r="A1" s="69" t="inlineStr">
        <is>
          <t>S09 — Equipment Deployment Timeline &amp; Critical Path Model — CapEx Phase II Program</t>
        </is>
      </c>
    </row>
    <row r="2" ht="15" customHeight="1">
      <c r="A2" s="2" t="inlineStr">
        <is>
          <t>All durations in weeks | Program Start: Week 1 (2025-Q2) | Critical Path items highlighted in RED | Inputs in BLUE | [MFG] Mfg  [FAT] Factory Accept. Test  [SHP] Shipping  [INS] Installation  [UTL] Utility Hookup  [PQ] Process Qual</t>
        </is>
      </c>
    </row>
    <row r="4" ht="30" customHeight="1">
      <c r="A4" s="70" t="inlineStr">
        <is>
          <t>Equipment ID</t>
        </is>
      </c>
      <c r="B4" s="70" t="inlineStr">
        <is>
          <t>Equipment / Tool</t>
        </is>
      </c>
      <c r="C4" s="70" t="inlineStr">
        <is>
          <t>Supplier</t>
        </is>
      </c>
      <c r="D4" s="70" t="inlineStr">
        <is>
          <t>Mfg (wks)</t>
        </is>
      </c>
      <c r="E4" s="70" t="inlineStr">
        <is>
          <t>FAT (wks)</t>
        </is>
      </c>
      <c r="F4" s="70" t="inlineStr">
        <is>
          <t>Shipping (wks)</t>
        </is>
      </c>
      <c r="G4" s="70" t="inlineStr">
        <is>
          <t>Installation (wks)</t>
        </is>
      </c>
      <c r="H4" s="70" t="inlineStr">
        <is>
          <t>Utility Hookup (wks)</t>
        </is>
      </c>
      <c r="I4" s="70" t="inlineStr">
        <is>
          <t>Process Qual (wks)</t>
        </is>
      </c>
      <c r="J4" s="70" t="inlineStr">
        <is>
          <t>Total Deploy Duration (wks)</t>
        </is>
      </c>
      <c r="K4" s="70" t="inlineStr">
        <is>
          <t>Program Start Week</t>
        </is>
      </c>
      <c r="L4" s="70" t="inlineStr">
        <is>
          <t>Delivery/Install Compl. (Wk#)</t>
        </is>
      </c>
      <c r="M4" s="70" t="inlineStr">
        <is>
          <t>PQ Complete (Wk#)</t>
        </is>
      </c>
      <c r="N4" s="70" t="inlineStr">
        <is>
          <t>Critical Path?</t>
        </is>
      </c>
      <c r="O4" s="70" t="inlineStr">
        <is>
          <t>Float (wks)</t>
        </is>
      </c>
      <c r="P4" s="70" t="inlineStr">
        <is>
          <t>Risk Flag</t>
        </is>
      </c>
      <c r="Q4" s="70" t="inlineStr">
        <is>
          <t>Predecessor Dependency</t>
        </is>
      </c>
      <c r="R4" s="70" t="inlineStr">
        <is>
          <t>Engineering Notes</t>
        </is>
      </c>
    </row>
    <row r="5">
      <c r="A5" s="39" t="inlineStr">
        <is>
          <t>EQ-014</t>
        </is>
      </c>
      <c r="B5" s="6" t="inlineStr">
        <is>
          <t>RTP – Applied Materials (CRITICAL PATH)</t>
        </is>
      </c>
      <c r="C5" s="6" t="inlineStr">
        <is>
          <t>AMAT</t>
        </is>
      </c>
      <c r="D5" s="43" t="n">
        <v>24</v>
      </c>
      <c r="E5" s="43" t="n">
        <v>2</v>
      </c>
      <c r="F5" s="43" t="n">
        <v>3</v>
      </c>
      <c r="G5" s="43" t="n">
        <v>4</v>
      </c>
      <c r="H5" s="43" t="n">
        <v>2</v>
      </c>
      <c r="I5" s="43" t="n">
        <v>6</v>
      </c>
      <c r="J5" s="6">
        <f>SUM(D5:I5)</f>
        <v/>
      </c>
      <c r="K5" s="43" t="n">
        <v>1</v>
      </c>
      <c r="L5" s="6">
        <f>K5+J5-F5</f>
        <v/>
      </c>
      <c r="M5" s="6">
        <f>K5+J5</f>
        <v/>
      </c>
      <c r="N5" s="73" t="inlineStr">
        <is>
          <t>YES</t>
        </is>
      </c>
      <c r="O5" s="6">
        <f>IF(N5="YES",0,4)</f>
        <v/>
      </c>
      <c r="P5" s="73" t="inlineStr">
        <is>
          <t>HIGH</t>
        </is>
      </c>
      <c r="Q5" s="6" t="inlineStr">
        <is>
          <t>None — first install</t>
        </is>
      </c>
      <c r="R5" s="8" t="inlineStr">
        <is>
          <t>Highest-value item; finance AR approval gate at Week 2; 30% deposit required; longest total duration</t>
        </is>
      </c>
    </row>
    <row r="6">
      <c r="A6" s="39" t="inlineStr">
        <is>
          <t>EQ-004</t>
        </is>
      </c>
      <c r="B6" s="6" t="inlineStr">
        <is>
          <t>Batch Oxidation Furnace</t>
        </is>
      </c>
      <c r="C6" s="6" t="inlineStr">
        <is>
          <t>TEL</t>
        </is>
      </c>
      <c r="D6" s="43" t="n">
        <v>28</v>
      </c>
      <c r="E6" s="43" t="n">
        <v>2</v>
      </c>
      <c r="F6" s="43" t="n">
        <v>3</v>
      </c>
      <c r="G6" s="43" t="n">
        <v>4</v>
      </c>
      <c r="H6" s="43" t="n">
        <v>2</v>
      </c>
      <c r="I6" s="43" t="n">
        <v>5</v>
      </c>
      <c r="J6" s="6">
        <f>SUM(D6:I6)</f>
        <v/>
      </c>
      <c r="K6" s="43" t="n">
        <v>1</v>
      </c>
      <c r="L6" s="6">
        <f>K6+J6-F6</f>
        <v/>
      </c>
      <c r="M6" s="6">
        <f>K6+J6</f>
        <v/>
      </c>
      <c r="N6" s="73" t="inlineStr">
        <is>
          <t>YES</t>
        </is>
      </c>
      <c r="O6" s="6">
        <f>IF(N6="YES",0,4)</f>
        <v/>
      </c>
      <c r="P6" s="73" t="inlineStr">
        <is>
          <t>HIGH</t>
        </is>
      </c>
      <c r="Q6" s="6" t="inlineStr">
        <is>
          <t>EQ-013 (pump) must install first</t>
        </is>
      </c>
      <c r="R6" s="8" t="inlineStr">
        <is>
          <t>JPY FX exposure; overseas FAT at TEL Japan; import clearance estimated 1 week</t>
        </is>
      </c>
    </row>
    <row r="7">
      <c r="A7" s="39" t="inlineStr">
        <is>
          <t>EQ-003</t>
        </is>
      </c>
      <c r="B7" s="6" t="inlineStr">
        <is>
          <t>Tube Furnace System</t>
        </is>
      </c>
      <c r="C7" s="6" t="inlineStr">
        <is>
          <t>Thermco</t>
        </is>
      </c>
      <c r="D7" s="43" t="n">
        <v>20</v>
      </c>
      <c r="E7" s="43" t="n">
        <v>2</v>
      </c>
      <c r="F7" s="43" t="n">
        <v>3</v>
      </c>
      <c r="G7" s="43" t="n">
        <v>4</v>
      </c>
      <c r="H7" s="43" t="n">
        <v>2</v>
      </c>
      <c r="I7" s="43" t="n">
        <v>5</v>
      </c>
      <c r="J7" s="6">
        <f>SUM(D7:I7)</f>
        <v/>
      </c>
      <c r="K7" s="43" t="n">
        <v>2</v>
      </c>
      <c r="L7" s="6">
        <f>K7+J7-F7</f>
        <v/>
      </c>
      <c r="M7" s="6">
        <f>K7+J7</f>
        <v/>
      </c>
      <c r="N7" s="73" t="inlineStr">
        <is>
          <t>YES</t>
        </is>
      </c>
      <c r="O7" s="6">
        <f>IF(N7="YES",0,4)</f>
        <v/>
      </c>
      <c r="P7" s="46" t="inlineStr">
        <is>
          <t>MODERATE</t>
        </is>
      </c>
      <c r="Q7" s="6" t="inlineStr">
        <is>
          <t>EQ-013 (pump) must install first</t>
        </is>
      </c>
      <c r="R7" s="8" t="inlineStr">
        <is>
          <t>Parallel install path with EQ-004 possible; process recipe transfer at FAT</t>
        </is>
      </c>
    </row>
    <row r="8">
      <c r="A8" s="39" t="inlineStr">
        <is>
          <t>EQ-006</t>
        </is>
      </c>
      <c r="B8" s="6" t="inlineStr">
        <is>
          <t>Overhead Track Conveyor</t>
        </is>
      </c>
      <c r="C8" s="6" t="inlineStr">
        <is>
          <t>Daifuku</t>
        </is>
      </c>
      <c r="D8" s="43" t="n">
        <v>30</v>
      </c>
      <c r="E8" s="43" t="n">
        <v>2</v>
      </c>
      <c r="F8" s="43" t="n">
        <v>3</v>
      </c>
      <c r="G8" s="43" t="n">
        <v>5</v>
      </c>
      <c r="H8" s="43" t="n">
        <v>2</v>
      </c>
      <c r="I8" s="43" t="n">
        <v>0</v>
      </c>
      <c r="J8" s="6">
        <f>SUM(D8:I8)</f>
        <v/>
      </c>
      <c r="K8" s="43" t="n">
        <v>1</v>
      </c>
      <c r="L8" s="6">
        <f>K8+J8-F8</f>
        <v/>
      </c>
      <c r="M8" s="6">
        <f>K8+J8</f>
        <v/>
      </c>
      <c r="N8" s="73" t="inlineStr">
        <is>
          <t>YES</t>
        </is>
      </c>
      <c r="O8" s="6">
        <f>IF(N8="YES",0,4)</f>
        <v/>
      </c>
      <c r="P8" s="73" t="inlineStr">
        <is>
          <t>HIGH</t>
        </is>
      </c>
      <c r="Q8" s="6" t="inlineStr">
        <is>
          <t>Civil mounts must be complete (Week 8)</t>
        </is>
      </c>
      <c r="R8" s="8" t="inlineStr">
        <is>
          <t>Civil interface drawings required 8 wks before delivery; structural review required</t>
        </is>
      </c>
    </row>
    <row r="9">
      <c r="A9" s="39" t="inlineStr">
        <is>
          <t>EQ-002</t>
        </is>
      </c>
      <c r="B9" s="6" t="inlineStr">
        <is>
          <t>Turbomolecular Pump</t>
        </is>
      </c>
      <c r="C9" s="6" t="inlineStr">
        <is>
          <t>Pfeiffer</t>
        </is>
      </c>
      <c r="D9" s="43" t="n">
        <v>26</v>
      </c>
      <c r="E9" s="43" t="n">
        <v>2</v>
      </c>
      <c r="F9" s="43" t="n">
        <v>3</v>
      </c>
      <c r="G9" s="43" t="n">
        <v>3</v>
      </c>
      <c r="H9" s="43" t="n">
        <v>1</v>
      </c>
      <c r="I9" s="43" t="n">
        <v>0</v>
      </c>
      <c r="J9" s="6">
        <f>SUM(D9:I9)</f>
        <v/>
      </c>
      <c r="K9" s="43" t="n">
        <v>1</v>
      </c>
      <c r="L9" s="6">
        <f>K9+J9-F9</f>
        <v/>
      </c>
      <c r="M9" s="6">
        <f>K9+J9</f>
        <v/>
      </c>
      <c r="N9" s="73" t="inlineStr">
        <is>
          <t>YES</t>
        </is>
      </c>
      <c r="O9" s="6">
        <f>IF(N9="YES",0,4)</f>
        <v/>
      </c>
      <c r="P9" s="73" t="inlineStr">
        <is>
          <t>CRITICAL</t>
        </is>
      </c>
      <c r="Q9" s="6" t="inlineStr">
        <is>
          <t>EQ-003, EQ-004 dependent</t>
        </is>
      </c>
      <c r="R9" s="8" t="inlineStr">
        <is>
          <t>SINGLE SOURCE – CRITICAL RISK; no qualified alt; escalated to VP; daily status</t>
        </is>
      </c>
    </row>
    <row r="10">
      <c r="A10" s="39" t="inlineStr">
        <is>
          <t>EQ-008</t>
        </is>
      </c>
      <c r="B10" s="6" t="inlineStr">
        <is>
          <t>Bulk Gas Storage</t>
        </is>
      </c>
      <c r="C10" s="6" t="inlineStr">
        <is>
          <t>Linde</t>
        </is>
      </c>
      <c r="D10" s="43" t="n">
        <v>32</v>
      </c>
      <c r="E10" s="43" t="n">
        <v>2</v>
      </c>
      <c r="F10" s="43" t="n">
        <v>3</v>
      </c>
      <c r="G10" s="43" t="n">
        <v>5</v>
      </c>
      <c r="H10" s="43" t="n">
        <v>3</v>
      </c>
      <c r="I10" s="43" t="n">
        <v>0</v>
      </c>
      <c r="J10" s="6">
        <f>SUM(D10:I10)</f>
        <v/>
      </c>
      <c r="K10" s="43" t="n">
        <v>1</v>
      </c>
      <c r="L10" s="6">
        <f>K10+J10-F10</f>
        <v/>
      </c>
      <c r="M10" s="6">
        <f>K10+J10</f>
        <v/>
      </c>
      <c r="N10" s="73" t="inlineStr">
        <is>
          <t>YES</t>
        </is>
      </c>
      <c r="O10" s="6">
        <f>IF(N10="YES",0,4)</f>
        <v/>
      </c>
      <c r="P10" s="73" t="inlineStr">
        <is>
          <t>HIGH</t>
        </is>
      </c>
      <c r="Q10" s="6" t="inlineStr">
        <is>
          <t>EQ-007 (gas cabinet) install after</t>
        </is>
      </c>
      <c r="R10" s="8" t="inlineStr">
        <is>
          <t>Longest lead time in portfolio (32 wks mfg); PO must be placed Week 1; civil pad parallel</t>
        </is>
      </c>
    </row>
    <row r="11">
      <c r="A11" s="39" t="inlineStr">
        <is>
          <t>EQ-001</t>
        </is>
      </c>
      <c r="B11" s="6" t="inlineStr">
        <is>
          <t>Dry Screw Vacuum Pump</t>
        </is>
      </c>
      <c r="C11" s="6" t="inlineStr">
        <is>
          <t>Edwards</t>
        </is>
      </c>
      <c r="D11" s="43" t="n">
        <v>18</v>
      </c>
      <c r="E11" s="43" t="n">
        <v>2</v>
      </c>
      <c r="F11" s="43" t="n">
        <v>3</v>
      </c>
      <c r="G11" s="43" t="n">
        <v>3</v>
      </c>
      <c r="H11" s="43" t="n">
        <v>1</v>
      </c>
      <c r="I11" s="43" t="n">
        <v>0</v>
      </c>
      <c r="J11" s="6">
        <f>SUM(D11:I11)</f>
        <v/>
      </c>
      <c r="K11" s="43" t="n">
        <v>2</v>
      </c>
      <c r="L11" s="6">
        <f>K11+J11-F11</f>
        <v/>
      </c>
      <c r="M11" s="6">
        <f>K11+J11</f>
        <v/>
      </c>
      <c r="N11" s="6" t="inlineStr">
        <is>
          <t>No</t>
        </is>
      </c>
      <c r="O11" s="6">
        <f>IF(N11="YES",0,4)</f>
        <v/>
      </c>
      <c r="P11" s="46" t="inlineStr">
        <is>
          <t>MODERATE</t>
        </is>
      </c>
      <c r="Q11" s="6" t="inlineStr">
        <is>
          <t>EQ-003 dependent</t>
        </is>
      </c>
      <c r="R11" s="8" t="inlineStr">
        <is>
          <t>Alt vendor (Busch) available; paired install with EQ-013; N2 purge line required</t>
        </is>
      </c>
    </row>
    <row r="12">
      <c r="A12" s="39" t="inlineStr">
        <is>
          <t>EQ-013</t>
        </is>
      </c>
      <c r="B12" s="6" t="inlineStr">
        <is>
          <t>Roots Blower Booster</t>
        </is>
      </c>
      <c r="C12" s="6" t="inlineStr">
        <is>
          <t>Busch</t>
        </is>
      </c>
      <c r="D12" s="43" t="n">
        <v>15</v>
      </c>
      <c r="E12" s="43" t="n">
        <v>2</v>
      </c>
      <c r="F12" s="43" t="n">
        <v>3</v>
      </c>
      <c r="G12" s="43" t="n">
        <v>3</v>
      </c>
      <c r="H12" s="43" t="n">
        <v>1</v>
      </c>
      <c r="I12" s="43" t="n">
        <v>0</v>
      </c>
      <c r="J12" s="6">
        <f>SUM(D12:I12)</f>
        <v/>
      </c>
      <c r="K12" s="43" t="n">
        <v>2</v>
      </c>
      <c r="L12" s="6">
        <f>K12+J12-F12</f>
        <v/>
      </c>
      <c r="M12" s="6">
        <f>K12+J12</f>
        <v/>
      </c>
      <c r="N12" s="6" t="inlineStr">
        <is>
          <t>No</t>
        </is>
      </c>
      <c r="O12" s="6">
        <f>IF(N12="YES",0,4)</f>
        <v/>
      </c>
      <c r="P12" s="40" t="inlineStr">
        <is>
          <t>LOW</t>
        </is>
      </c>
      <c r="Q12" s="6" t="inlineStr">
        <is>
          <t>EQ-001 must install first</t>
        </is>
      </c>
      <c r="R12" s="8" t="inlineStr">
        <is>
          <t>Paired with EQ-001; coordinated delivery schedule; low supply risk</t>
        </is>
      </c>
    </row>
    <row r="13">
      <c r="A13" s="39" t="inlineStr">
        <is>
          <t>EQ-007</t>
        </is>
      </c>
      <c r="B13" s="6" t="inlineStr">
        <is>
          <t>Gas Cabinet</t>
        </is>
      </c>
      <c r="C13" s="6" t="inlineStr">
        <is>
          <t>Air Liquide</t>
        </is>
      </c>
      <c r="D13" s="43" t="n">
        <v>22</v>
      </c>
      <c r="E13" s="43" t="n">
        <v>2</v>
      </c>
      <c r="F13" s="43" t="n">
        <v>3</v>
      </c>
      <c r="G13" s="43" t="n">
        <v>4</v>
      </c>
      <c r="H13" s="43" t="n">
        <v>2</v>
      </c>
      <c r="I13" s="43" t="n">
        <v>0</v>
      </c>
      <c r="J13" s="6">
        <f>SUM(D13:I13)</f>
        <v/>
      </c>
      <c r="K13" s="43" t="n">
        <v>2</v>
      </c>
      <c r="L13" s="6">
        <f>K13+J13-F13</f>
        <v/>
      </c>
      <c r="M13" s="6">
        <f>K13+J13</f>
        <v/>
      </c>
      <c r="N13" s="6" t="inlineStr">
        <is>
          <t>No</t>
        </is>
      </c>
      <c r="O13" s="6">
        <f>IF(N13="YES",0,4)</f>
        <v/>
      </c>
      <c r="P13" s="46" t="inlineStr">
        <is>
          <t>MODERATE</t>
        </is>
      </c>
      <c r="Q13" s="6" t="inlineStr">
        <is>
          <t>EQ-008 (bulk gas) commissioned first</t>
        </is>
      </c>
      <c r="R13" s="8" t="inlineStr">
        <is>
          <t>Hazmat permit on critical path; permit application must be filed immediately</t>
        </is>
      </c>
    </row>
    <row r="14">
      <c r="A14" s="39" t="inlineStr">
        <is>
          <t>EQ-005</t>
        </is>
      </c>
      <c r="B14" s="6" t="inlineStr">
        <is>
          <t>SCARA Robot (x6)</t>
        </is>
      </c>
      <c r="C14" s="6" t="inlineStr">
        <is>
          <t>Brooks</t>
        </is>
      </c>
      <c r="D14" s="43" t="n">
        <v>14</v>
      </c>
      <c r="E14" s="43" t="n">
        <v>2</v>
      </c>
      <c r="F14" s="43" t="n">
        <v>3</v>
      </c>
      <c r="G14" s="43" t="n">
        <v>4</v>
      </c>
      <c r="H14" s="43" t="n">
        <v>1</v>
      </c>
      <c r="I14" s="43" t="n">
        <v>0</v>
      </c>
      <c r="J14" s="6">
        <f>SUM(D14:I14)</f>
        <v/>
      </c>
      <c r="K14" s="43" t="n">
        <v>3</v>
      </c>
      <c r="L14" s="6">
        <f>K14+J14-F14</f>
        <v/>
      </c>
      <c r="M14" s="6">
        <f>K14+J14</f>
        <v/>
      </c>
      <c r="N14" s="6" t="inlineStr">
        <is>
          <t>No</t>
        </is>
      </c>
      <c r="O14" s="6">
        <f>IF(N14="YES",0,4)</f>
        <v/>
      </c>
      <c r="P14" s="46" t="inlineStr">
        <is>
          <t>MODERATE</t>
        </is>
      </c>
      <c r="Q14" s="6" t="inlineStr">
        <is>
          <t>EQ-006 (conveyor) operational first</t>
        </is>
      </c>
      <c r="R14" s="8" t="inlineStr">
        <is>
          <t>MES integration requires 4 wks; SW engineer on-site for FAT and site install</t>
        </is>
      </c>
    </row>
    <row r="15">
      <c r="A15" s="39" t="inlineStr">
        <is>
          <t>EQ-009</t>
        </is>
      </c>
      <c r="B15" s="6" t="inlineStr">
        <is>
          <t>DCS – Siemens S7-1500 (x5)</t>
        </is>
      </c>
      <c r="C15" s="6" t="inlineStr">
        <is>
          <t>—</t>
        </is>
      </c>
      <c r="D15" s="43" t="n">
        <v>14</v>
      </c>
      <c r="E15" s="43" t="n">
        <v>2</v>
      </c>
      <c r="F15" s="43" t="n">
        <v>3</v>
      </c>
      <c r="G15" s="43" t="n">
        <v>3</v>
      </c>
      <c r="H15" s="43" t="n">
        <v>1</v>
      </c>
      <c r="I15" s="43" t="n">
        <v>0</v>
      </c>
      <c r="J15" s="6">
        <f>SUM(D15:I15)</f>
        <v/>
      </c>
      <c r="K15" s="43" t="n">
        <v>2</v>
      </c>
      <c r="L15" s="6">
        <f>K15+J15-F15</f>
        <v/>
      </c>
      <c r="M15" s="6">
        <f>K15+J15</f>
        <v/>
      </c>
      <c r="N15" s="6" t="inlineStr">
        <is>
          <t>No</t>
        </is>
      </c>
      <c r="O15" s="6">
        <f>IF(N15="YES",0,4)</f>
        <v/>
      </c>
      <c r="P15" s="40" t="inlineStr">
        <is>
          <t>LOW</t>
        </is>
      </c>
      <c r="Q15" s="6" t="inlineStr">
        <is>
          <t>None — independent</t>
        </is>
      </c>
      <c r="R15" s="8" t="inlineStr">
        <is>
          <t>Cybersecurity review adds 3 wks; submit InfoSec package 6 wks pre-install</t>
        </is>
      </c>
    </row>
    <row r="16">
      <c r="A16" s="39" t="inlineStr">
        <is>
          <t>EQ-010</t>
        </is>
      </c>
      <c r="B16" s="6" t="inlineStr">
        <is>
          <t>SCADA Platform</t>
        </is>
      </c>
      <c r="C16" s="6" t="inlineStr">
        <is>
          <t>Inductive Automation</t>
        </is>
      </c>
      <c r="D16" s="43" t="n">
        <v>0</v>
      </c>
      <c r="E16" s="43" t="n">
        <v>2</v>
      </c>
      <c r="F16" s="43" t="n">
        <v>0</v>
      </c>
      <c r="G16" s="43" t="n">
        <v>2</v>
      </c>
      <c r="H16" s="43" t="n">
        <v>1</v>
      </c>
      <c r="I16" s="43" t="n">
        <v>0</v>
      </c>
      <c r="J16" s="6">
        <f>SUM(D16:I16)</f>
        <v/>
      </c>
      <c r="K16" s="43" t="n">
        <v>4</v>
      </c>
      <c r="L16" s="6">
        <f>K16+J16-F16</f>
        <v/>
      </c>
      <c r="M16" s="6">
        <f>K16+J16</f>
        <v/>
      </c>
      <c r="N16" s="6" t="inlineStr">
        <is>
          <t>No</t>
        </is>
      </c>
      <c r="O16" s="6">
        <f>IF(N16="YES",0,4)</f>
        <v/>
      </c>
      <c r="P16" s="40" t="inlineStr">
        <is>
          <t>LOW</t>
        </is>
      </c>
      <c r="Q16" s="6" t="inlineStr">
        <is>
          <t>EQ-009 DCS must be installed</t>
        </is>
      </c>
      <c r="R16" s="8" t="inlineStr">
        <is>
          <t>Software license; no physical shipping; IT infrastructure and server required on-site first</t>
        </is>
      </c>
    </row>
    <row r="17">
      <c r="A17" s="39" t="inlineStr">
        <is>
          <t>EQ-011</t>
        </is>
      </c>
      <c r="B17" s="6" t="inlineStr">
        <is>
          <t>Dry-Type Transformer</t>
        </is>
      </c>
      <c r="C17" s="6" t="inlineStr">
        <is>
          <t>ABB</t>
        </is>
      </c>
      <c r="D17" s="43" t="n">
        <v>20</v>
      </c>
      <c r="E17" s="43" t="n">
        <v>2</v>
      </c>
      <c r="F17" s="43" t="n">
        <v>3</v>
      </c>
      <c r="G17" s="43" t="n">
        <v>3</v>
      </c>
      <c r="H17" s="43" t="n">
        <v>2</v>
      </c>
      <c r="I17" s="43" t="n">
        <v>0</v>
      </c>
      <c r="J17" s="6">
        <f>SUM(D17:I17)</f>
        <v/>
      </c>
      <c r="K17" s="43" t="n">
        <v>1</v>
      </c>
      <c r="L17" s="6">
        <f>K17+J17-F17</f>
        <v/>
      </c>
      <c r="M17" s="6">
        <f>K17+J17</f>
        <v/>
      </c>
      <c r="N17" s="6" t="inlineStr">
        <is>
          <t>No</t>
        </is>
      </c>
      <c r="O17" s="6">
        <f>IF(N17="YES",0,4)</f>
        <v/>
      </c>
      <c r="P17" s="46" t="inlineStr">
        <is>
          <t>MODERATE</t>
        </is>
      </c>
      <c r="Q17" s="6" t="inlineStr">
        <is>
          <t>None — utility infrastructure</t>
        </is>
      </c>
      <c r="R17" s="8" t="inlineStr">
        <is>
          <t>Partial reuse from legacy program; refurbishment scope adds 2 wks to schedule</t>
        </is>
      </c>
    </row>
    <row r="18">
      <c r="A18" s="39" t="inlineStr">
        <is>
          <t>EQ-012</t>
        </is>
      </c>
      <c r="B18" s="6" t="inlineStr">
        <is>
          <t>Process Chiller (x3)</t>
        </is>
      </c>
      <c r="C18" s="6" t="inlineStr">
        <is>
          <t>Daikin</t>
        </is>
      </c>
      <c r="D18" s="43" t="n">
        <v>20</v>
      </c>
      <c r="E18" s="43" t="n">
        <v>2</v>
      </c>
      <c r="F18" s="43" t="n">
        <v>3</v>
      </c>
      <c r="G18" s="43" t="n">
        <v>4</v>
      </c>
      <c r="H18" s="43" t="n">
        <v>2</v>
      </c>
      <c r="I18" s="43" t="n">
        <v>0</v>
      </c>
      <c r="J18" s="6">
        <f>SUM(D18:I18)</f>
        <v/>
      </c>
      <c r="K18" s="43" t="n">
        <v>2</v>
      </c>
      <c r="L18" s="6">
        <f>K18+J18-F18</f>
        <v/>
      </c>
      <c r="M18" s="6">
        <f>K18+J18</f>
        <v/>
      </c>
      <c r="N18" s="6" t="inlineStr">
        <is>
          <t>No</t>
        </is>
      </c>
      <c r="O18" s="6">
        <f>IF(N18="YES",0,4)</f>
        <v/>
      </c>
      <c r="P18" s="46" t="inlineStr">
        <is>
          <t>MODERATE</t>
        </is>
      </c>
      <c r="Q18" s="6" t="inlineStr">
        <is>
          <t>EQ-011 (transformer) must be live</t>
        </is>
      </c>
      <c r="R18" s="8" t="inlineStr">
        <is>
          <t>Glycol loop design must be finalized by Week 6; coordinate with mechanical engineering</t>
        </is>
      </c>
    </row>
    <row r="19">
      <c r="A19" s="39" t="inlineStr">
        <is>
          <t>EQ-015</t>
        </is>
      </c>
      <c r="B19" s="6" t="inlineStr">
        <is>
          <t>AMR Fleet (x10)</t>
        </is>
      </c>
      <c r="C19" s="6" t="inlineStr">
        <is>
          <t>MiR</t>
        </is>
      </c>
      <c r="D19" s="43" t="n">
        <v>18</v>
      </c>
      <c r="E19" s="43" t="n">
        <v>2</v>
      </c>
      <c r="F19" s="43" t="n">
        <v>3</v>
      </c>
      <c r="G19" s="43" t="n">
        <v>3</v>
      </c>
      <c r="H19" s="43" t="n">
        <v>1</v>
      </c>
      <c r="I19" s="43" t="n">
        <v>0</v>
      </c>
      <c r="J19" s="6">
        <f>SUM(D19:I19)</f>
        <v/>
      </c>
      <c r="K19" s="43" t="n">
        <v>5</v>
      </c>
      <c r="L19" s="6">
        <f>K19+J19-F19</f>
        <v/>
      </c>
      <c r="M19" s="6">
        <f>K19+J19</f>
        <v/>
      </c>
      <c r="N19" s="6" t="inlineStr">
        <is>
          <t>No</t>
        </is>
      </c>
      <c r="O19" s="6">
        <f>IF(N19="YES",0,4)</f>
        <v/>
      </c>
      <c r="P19" s="40" t="inlineStr">
        <is>
          <t>LOW</t>
        </is>
      </c>
      <c r="Q19" s="6" t="inlineStr">
        <is>
          <t>EQ-006 (conveyor) track complete</t>
        </is>
      </c>
      <c r="R19" s="8" t="inlineStr">
        <is>
          <t>Wi-Fi infrastructure upgrade required 6 wks before delivery; IT lead time on critical path</t>
        </is>
      </c>
    </row>
    <row r="22" ht="18" customHeight="1">
      <c r="A22" s="74" t="inlineStr">
        <is>
          <t>PROGRAM SCHEDULE SUMMARY</t>
        </is>
      </c>
    </row>
    <row r="23">
      <c r="A23" s="6" t="inlineStr">
        <is>
          <t>Earliest Equipment Delivery (Week #)</t>
        </is>
      </c>
      <c r="B23" s="39">
        <f>MIN(L5:L19)</f>
        <v/>
      </c>
    </row>
    <row r="24">
      <c r="A24" s="6" t="inlineStr">
        <is>
          <t>Latest PQ Completion (Week #)</t>
        </is>
      </c>
      <c r="B24" s="39">
        <f>MAX(M5:M19)</f>
        <v/>
      </c>
    </row>
    <row r="25">
      <c r="A25" s="6" t="inlineStr">
        <is>
          <t>Critical Path Duration (Program End, weeks)</t>
        </is>
      </c>
      <c r="B25" s="39">
        <f>MAX(M5:M19)</f>
        <v/>
      </c>
    </row>
    <row r="26">
      <c r="A26" s="6" t="inlineStr">
        <is>
          <t>Total Equipment Platforms</t>
        </is>
      </c>
      <c r="B26" s="39">
        <f>COUNTA(A5:A19)</f>
        <v/>
      </c>
    </row>
    <row r="27">
      <c r="A27" s="6" t="inlineStr">
        <is>
          <t>Critical Path Items</t>
        </is>
      </c>
      <c r="B27" s="39">
        <f>COUNTIF(N5:N19,"YES")</f>
        <v/>
      </c>
    </row>
    <row r="28">
      <c r="A28" s="6" t="inlineStr">
        <is>
          <t>HIGH or CRITICAL Risk Items</t>
        </is>
      </c>
      <c r="B28" s="39">
        <f>COUNTIF(P5:P19,"HIGH")+COUNTIF(P5:P19,"CRITICAL")</f>
        <v/>
      </c>
    </row>
    <row r="29">
      <c r="A29" s="6" t="inlineStr">
        <is>
          <t>Avg Total Deployment Duration (wks)</t>
        </is>
      </c>
      <c r="B29" s="39">
        <f>AVERAGE(J5:J19)</f>
        <v/>
      </c>
    </row>
    <row r="30">
      <c r="A30" s="6" t="inlineStr">
        <is>
          <t>Items with Zero Float (No Schedule Flexibility)</t>
        </is>
      </c>
      <c r="B30" s="39">
        <f>COUNTIF(O5:O19,0)</f>
        <v/>
      </c>
    </row>
  </sheetData>
  <mergeCells count="3">
    <mergeCell ref="A2:R2"/>
    <mergeCell ref="A22:B22"/>
    <mergeCell ref="A1:R1"/>
  </mergeCells>
  <pageMargins left="0.75" right="0.75" top="1" bottom="1" header="0.5" footer="0.5"/>
</worksheet>
</file>

<file path=xl/worksheets/sheet14.xml><?xml version="1.0" encoding="utf-8"?>
<worksheet xmlns="http://schemas.openxmlformats.org/spreadsheetml/2006/main">
  <sheetPr>
    <tabColor rgb="002E7D32"/>
    <outlinePr summaryBelow="1" summaryRight="1"/>
    <pageSetUpPr/>
  </sheetPr>
  <dimension ref="A1:N37"/>
  <sheetViews>
    <sheetView workbookViewId="0">
      <pane ySplit="15" topLeftCell="A16" activePane="bottomLeft" state="frozen"/>
      <selection pane="bottomLeft" activeCell="A1" sqref="A1"/>
    </sheetView>
  </sheetViews>
  <sheetFormatPr baseColWidth="8" defaultRowHeight="15"/>
  <cols>
    <col width="12" customWidth="1" min="1" max="1"/>
    <col width="22" customWidth="1" min="2" max="2"/>
    <col width="30" customWidth="1" min="3" max="3"/>
    <col width="14" customWidth="1" min="4" max="4"/>
    <col width="8" customWidth="1" min="5" max="5"/>
    <col width="12" customWidth="1" min="6" max="6"/>
    <col width="12" customWidth="1" min="7" max="7"/>
    <col width="14" customWidth="1" min="8" max="8"/>
    <col width="14" customWidth="1" min="9" max="9"/>
    <col width="13" customWidth="1" min="10" max="10"/>
    <col width="15" customWidth="1" min="11" max="11"/>
    <col width="15" customWidth="1" min="12" max="12"/>
    <col width="13" customWidth="1" min="13" max="13"/>
    <col width="40" customWidth="1" min="14" max="14"/>
  </cols>
  <sheetData>
    <row r="1" ht="26" customHeight="1">
      <c r="A1" s="69" t="inlineStr">
        <is>
          <t>S10 — Capacity Planning Model — Annual Production Capacity Supported by Equipment Portfolio</t>
        </is>
      </c>
    </row>
    <row r="2" ht="15" customHeight="1">
      <c r="A2" s="2" t="inlineStr">
        <is>
          <t>Inputs from S02_Equipment_Portfolio and S01_Disclaimer_Assumptions | Identifies bottlenecks | Models +20% demand surge scenario</t>
        </is>
      </c>
    </row>
    <row r="4" ht="18" customHeight="1">
      <c r="A4" s="74" t="inlineStr">
        <is>
          <t>CAPACITY MODEL PARAMETERS</t>
        </is>
      </c>
    </row>
    <row r="5" ht="30" customHeight="1">
      <c r="A5" s="70" t="inlineStr">
        <is>
          <t>Parameter</t>
        </is>
      </c>
      <c r="B5" s="70" t="inlineStr">
        <is>
          <t>Value</t>
        </is>
      </c>
      <c r="C5" s="70" t="inlineStr">
        <is>
          <t>Unit</t>
        </is>
      </c>
      <c r="D5" s="70" t="inlineStr">
        <is>
          <t>Source</t>
        </is>
      </c>
    </row>
    <row r="6">
      <c r="A6" t="inlineStr">
        <is>
          <t>Equipment Uptime (%)</t>
        </is>
      </c>
      <c r="B6" s="62">
        <f>'S01_Disclaimer_Assumptions'!$B$30</f>
        <v/>
      </c>
      <c r="D6" t="inlineStr">
        <is>
          <t>S01 — 92% target</t>
        </is>
      </c>
    </row>
    <row r="7">
      <c r="A7" t="inlineStr">
        <is>
          <t>Planned Maint Downtime (%)</t>
        </is>
      </c>
      <c r="B7" s="62">
        <f>'S01_Disclaimer_Assumptions'!$B$31</f>
        <v/>
      </c>
      <c r="D7" t="inlineStr">
        <is>
          <t>S01 — 4% allocated</t>
        </is>
      </c>
    </row>
    <row r="8">
      <c r="A8" t="inlineStr">
        <is>
          <t>Effective Uptime (%)</t>
        </is>
      </c>
      <c r="B8" s="77">
        <f>B6-B7</f>
        <v/>
      </c>
      <c r="D8" t="inlineStr">
        <is>
          <t>Uptime minus Planned Maint (formula)</t>
        </is>
      </c>
    </row>
    <row r="9">
      <c r="A9" t="inlineStr">
        <is>
          <t>Process Yield (%)</t>
        </is>
      </c>
      <c r="B9" s="62">
        <f>'S01_Disclaimer_Assumptions'!$B$32</f>
        <v/>
      </c>
      <c r="D9" t="inlineStr">
        <is>
          <t>S01 — 96% yield</t>
        </is>
      </c>
    </row>
    <row r="10">
      <c r="A10" t="inlineStr">
        <is>
          <t>Baseline Demand (units/yr)</t>
        </is>
      </c>
      <c r="B10" s="78" t="n">
        <v>750000</v>
      </c>
      <c r="D10" t="inlineStr">
        <is>
          <t>Engineering baseline — current program requirement</t>
        </is>
      </c>
    </row>
    <row r="11">
      <c r="A11" t="inlineStr">
        <is>
          <t>Surge Scenario (+20%) Demand (units/yr)</t>
        </is>
      </c>
      <c r="B11" s="79">
        <f>B10*1.2</f>
        <v/>
      </c>
      <c r="D11" t="inlineStr">
        <is>
          <t>Stress test: 20% volume increase</t>
        </is>
      </c>
    </row>
    <row r="13" ht="18" customHeight="1">
      <c r="A13" s="74" t="inlineStr">
        <is>
          <t>EQUIPMENT CAPACITY MODEL — BASELINE vs SURGE SCENARIO</t>
        </is>
      </c>
    </row>
    <row r="14" ht="30" customHeight="1">
      <c r="A14" s="70" t="inlineStr">
        <is>
          <t>Equipment ID</t>
        </is>
      </c>
      <c r="B14" s="70" t="inlineStr">
        <is>
          <t>Equipment Category</t>
        </is>
      </c>
      <c r="C14" s="70" t="inlineStr">
        <is>
          <t>Tool Type</t>
        </is>
      </c>
      <c r="D14" s="70" t="inlineStr">
        <is>
          <t>Throughput (units/hr)</t>
        </is>
      </c>
      <c r="E14" s="70" t="inlineStr">
        <is>
          <t>Quantity</t>
        </is>
      </c>
      <c r="F14" s="70" t="inlineStr">
        <is>
          <t>Op Hours/Year</t>
        </is>
      </c>
      <c r="G14" s="70" t="inlineStr">
        <is>
          <t>Effective Uptime (%)</t>
        </is>
      </c>
      <c r="H14" s="70" t="inlineStr">
        <is>
          <t>Annual Capacity (units/yr)</t>
        </is>
      </c>
      <c r="I14" s="70" t="inlineStr">
        <is>
          <t>Baseline Demand (units/yr)</t>
        </is>
      </c>
      <c r="J14" s="70" t="inlineStr">
        <is>
          <t>Capacity Cushion (units)</t>
        </is>
      </c>
      <c r="K14" s="70" t="inlineStr">
        <is>
          <t>Tool Contribution to Portfolio Cap (%)</t>
        </is>
      </c>
      <c r="L14" s="70" t="inlineStr">
        <is>
          <t>Surge Demand (+20%, units/yr)</t>
        </is>
      </c>
      <c r="M14" s="70" t="inlineStr">
        <is>
          <t>Surge Contribution (%)</t>
        </is>
      </c>
      <c r="N14" s="70" t="inlineStr">
        <is>
          <t>Bottleneck Flag</t>
        </is>
      </c>
    </row>
    <row r="15">
      <c r="A15" s="6" t="inlineStr">
        <is>
          <t>EQ-001</t>
        </is>
      </c>
      <c r="B15" s="6" t="inlineStr">
        <is>
          <t>Vacuum Pump System</t>
        </is>
      </c>
      <c r="C15" s="6" t="inlineStr">
        <is>
          <t>Dry Screw Vacuum Pump</t>
        </is>
      </c>
      <c r="D15" s="6" t="inlineStr">
        <is>
          <t>N/A</t>
        </is>
      </c>
      <c r="E15" s="43" t="n">
        <v>4</v>
      </c>
      <c r="F15" s="43" t="n">
        <v>8320</v>
      </c>
      <c r="G15" s="32">
        <f>$B$8</f>
        <v/>
      </c>
      <c r="H15" s="6" t="inlineStr">
        <is>
          <t>—</t>
        </is>
      </c>
      <c r="I15" s="6" t="inlineStr">
        <is>
          <t>—</t>
        </is>
      </c>
      <c r="J15" s="6" t="inlineStr">
        <is>
          <t>—</t>
        </is>
      </c>
      <c r="K15" s="6" t="inlineStr">
        <is>
          <t>—</t>
        </is>
      </c>
      <c r="L15" s="6" t="inlineStr">
        <is>
          <t>—</t>
        </is>
      </c>
      <c r="M15" s="6" t="inlineStr">
        <is>
          <t>—</t>
        </is>
      </c>
      <c r="N15" s="6" t="inlineStr">
        <is>
          <t>SUPPORT EQUIPMENT</t>
        </is>
      </c>
    </row>
    <row r="16">
      <c r="A16" s="6" t="inlineStr">
        <is>
          <t>EQ-002</t>
        </is>
      </c>
      <c r="B16" s="6" t="inlineStr">
        <is>
          <t>Vacuum Pump System</t>
        </is>
      </c>
      <c r="C16" s="6" t="inlineStr">
        <is>
          <t>Turbomolecular Pump Assembly</t>
        </is>
      </c>
      <c r="D16" s="6" t="inlineStr">
        <is>
          <t>N/A</t>
        </is>
      </c>
      <c r="E16" s="43" t="n">
        <v>3</v>
      </c>
      <c r="F16" s="43" t="n">
        <v>8320</v>
      </c>
      <c r="G16" s="32">
        <f>$B$8</f>
        <v/>
      </c>
      <c r="H16" s="6" t="inlineStr">
        <is>
          <t>—</t>
        </is>
      </c>
      <c r="I16" s="6" t="inlineStr">
        <is>
          <t>—</t>
        </is>
      </c>
      <c r="J16" s="6" t="inlineStr">
        <is>
          <t>—</t>
        </is>
      </c>
      <c r="K16" s="6" t="inlineStr">
        <is>
          <t>—</t>
        </is>
      </c>
      <c r="L16" s="6" t="inlineStr">
        <is>
          <t>—</t>
        </is>
      </c>
      <c r="M16" s="6" t="inlineStr">
        <is>
          <t>—</t>
        </is>
      </c>
      <c r="N16" s="6" t="inlineStr">
        <is>
          <t>SUPPORT EQUIPMENT</t>
        </is>
      </c>
    </row>
    <row r="17">
      <c r="A17" s="6" t="inlineStr">
        <is>
          <t>EQ-003</t>
        </is>
      </c>
      <c r="B17" s="6" t="inlineStr">
        <is>
          <t>High-Temp Furnace</t>
        </is>
      </c>
      <c r="C17" s="6" t="inlineStr">
        <is>
          <t>Tube Furnace System – 8-zone</t>
        </is>
      </c>
      <c r="D17" s="43" t="n">
        <v>24</v>
      </c>
      <c r="E17" s="43" t="n">
        <v>2</v>
      </c>
      <c r="F17" s="43" t="n">
        <v>8320</v>
      </c>
      <c r="G17" s="32">
        <f>$B$8</f>
        <v/>
      </c>
      <c r="H17" s="66">
        <f>D17*E17*F17*G17*$B$9</f>
        <v/>
      </c>
      <c r="I17" s="66">
        <f>$B$10</f>
        <v/>
      </c>
      <c r="J17" s="66">
        <f>H17-I17</f>
        <v/>
      </c>
      <c r="K17" s="32">
        <f>I17/H17</f>
        <v/>
      </c>
      <c r="L17" s="66">
        <f>$B$11</f>
        <v/>
      </c>
      <c r="M17" s="32">
        <f>L17/H17</f>
        <v/>
      </c>
      <c r="N17" s="6" t="inlineStr">
        <is>
          <t>⚠ BOTTLENECK (portfolio-level surge &gt;72% utilization)</t>
        </is>
      </c>
    </row>
    <row r="18">
      <c r="A18" s="6" t="inlineStr">
        <is>
          <t>EQ-004</t>
        </is>
      </c>
      <c r="B18" s="6" t="inlineStr">
        <is>
          <t>High-Temp Furnace</t>
        </is>
      </c>
      <c r="C18" s="6" t="inlineStr">
        <is>
          <t>Batch Oxidation Furnace</t>
        </is>
      </c>
      <c r="D18" s="43" t="n">
        <v>18</v>
      </c>
      <c r="E18" s="43" t="n">
        <v>2</v>
      </c>
      <c r="F18" s="43" t="n">
        <v>8320</v>
      </c>
      <c r="G18" s="32">
        <f>$B$8</f>
        <v/>
      </c>
      <c r="H18" s="66">
        <f>D18*E18*F18*G18*$B$9</f>
        <v/>
      </c>
      <c r="I18" s="66">
        <f>$B$10</f>
        <v/>
      </c>
      <c r="J18" s="66">
        <f>H18-I18</f>
        <v/>
      </c>
      <c r="K18" s="32">
        <f>I18/H18</f>
        <v/>
      </c>
      <c r="L18" s="66">
        <f>$B$11</f>
        <v/>
      </c>
      <c r="M18" s="32">
        <f>L18/H18</f>
        <v/>
      </c>
      <c r="N18" s="6" t="inlineStr">
        <is>
          <t>⚠ BOTTLENECK (portfolio-level surge &gt;72% utilization)</t>
        </is>
      </c>
    </row>
    <row r="19">
      <c r="A19" s="6" t="inlineStr">
        <is>
          <t>EQ-005</t>
        </is>
      </c>
      <c r="B19" s="6" t="inlineStr">
        <is>
          <t>Robotics / Automation</t>
        </is>
      </c>
      <c r="C19" s="6" t="inlineStr">
        <is>
          <t>SCARA Wafer Transfer Robot</t>
        </is>
      </c>
      <c r="D19" s="6" t="inlineStr">
        <is>
          <t>N/A</t>
        </is>
      </c>
      <c r="E19" s="43" t="n">
        <v>6</v>
      </c>
      <c r="F19" s="43" t="n">
        <v>8320</v>
      </c>
      <c r="G19" s="32">
        <f>$B$8</f>
        <v/>
      </c>
      <c r="H19" s="6" t="inlineStr">
        <is>
          <t>—</t>
        </is>
      </c>
      <c r="I19" s="6" t="inlineStr">
        <is>
          <t>—</t>
        </is>
      </c>
      <c r="J19" s="6" t="inlineStr">
        <is>
          <t>—</t>
        </is>
      </c>
      <c r="K19" s="6" t="inlineStr">
        <is>
          <t>—</t>
        </is>
      </c>
      <c r="L19" s="6" t="inlineStr">
        <is>
          <t>—</t>
        </is>
      </c>
      <c r="M19" s="6" t="inlineStr">
        <is>
          <t>—</t>
        </is>
      </c>
      <c r="N19" s="6" t="inlineStr">
        <is>
          <t>SUPPORT EQUIPMENT</t>
        </is>
      </c>
    </row>
    <row r="20">
      <c r="A20" s="6" t="inlineStr">
        <is>
          <t>EQ-006</t>
        </is>
      </c>
      <c r="B20" s="6" t="inlineStr">
        <is>
          <t>Robotics / Automation</t>
        </is>
      </c>
      <c r="C20" s="6" t="inlineStr">
        <is>
          <t>Overhead Track Conveyor</t>
        </is>
      </c>
      <c r="D20" s="6" t="inlineStr">
        <is>
          <t>N/A</t>
        </is>
      </c>
      <c r="E20" s="43" t="n">
        <v>1</v>
      </c>
      <c r="F20" s="43" t="n">
        <v>8320</v>
      </c>
      <c r="G20" s="32">
        <f>$B$8</f>
        <v/>
      </c>
      <c r="H20" s="6" t="inlineStr">
        <is>
          <t>—</t>
        </is>
      </c>
      <c r="I20" s="6" t="inlineStr">
        <is>
          <t>—</t>
        </is>
      </c>
      <c r="J20" s="6" t="inlineStr">
        <is>
          <t>—</t>
        </is>
      </c>
      <c r="K20" s="6" t="inlineStr">
        <is>
          <t>—</t>
        </is>
      </c>
      <c r="L20" s="6" t="inlineStr">
        <is>
          <t>—</t>
        </is>
      </c>
      <c r="M20" s="6" t="inlineStr">
        <is>
          <t>—</t>
        </is>
      </c>
      <c r="N20" s="6" t="inlineStr">
        <is>
          <t>SUPPORT EQUIPMENT</t>
        </is>
      </c>
    </row>
    <row r="21">
      <c r="A21" s="6" t="inlineStr">
        <is>
          <t>EQ-007</t>
        </is>
      </c>
      <c r="B21" s="6" t="inlineStr">
        <is>
          <t>Gas Handling System</t>
        </is>
      </c>
      <c r="C21" s="6" t="inlineStr">
        <is>
          <t>Process Gas Cabinet</t>
        </is>
      </c>
      <c r="D21" s="6" t="inlineStr">
        <is>
          <t>N/A</t>
        </is>
      </c>
      <c r="E21" s="43" t="n">
        <v>4</v>
      </c>
      <c r="F21" s="43" t="n">
        <v>8320</v>
      </c>
      <c r="G21" s="32">
        <f>$B$8</f>
        <v/>
      </c>
      <c r="H21" s="6" t="inlineStr">
        <is>
          <t>—</t>
        </is>
      </c>
      <c r="I21" s="6" t="inlineStr">
        <is>
          <t>—</t>
        </is>
      </c>
      <c r="J21" s="6" t="inlineStr">
        <is>
          <t>—</t>
        </is>
      </c>
      <c r="K21" s="6" t="inlineStr">
        <is>
          <t>—</t>
        </is>
      </c>
      <c r="L21" s="6" t="inlineStr">
        <is>
          <t>—</t>
        </is>
      </c>
      <c r="M21" s="6" t="inlineStr">
        <is>
          <t>—</t>
        </is>
      </c>
      <c r="N21" s="6" t="inlineStr">
        <is>
          <t>SUPPORT EQUIPMENT</t>
        </is>
      </c>
    </row>
    <row r="22">
      <c r="A22" s="6" t="inlineStr">
        <is>
          <t>EQ-009</t>
        </is>
      </c>
      <c r="B22" s="6" t="inlineStr">
        <is>
          <t>PLC Control System</t>
        </is>
      </c>
      <c r="C22" s="6" t="inlineStr">
        <is>
          <t>DCS – Siemens S7-1500</t>
        </is>
      </c>
      <c r="D22" s="6" t="inlineStr">
        <is>
          <t>N/A</t>
        </is>
      </c>
      <c r="E22" s="43" t="n">
        <v>5</v>
      </c>
      <c r="F22" s="43" t="n">
        <v>8320</v>
      </c>
      <c r="G22" s="32">
        <f>$B$8</f>
        <v/>
      </c>
      <c r="H22" s="6" t="inlineStr">
        <is>
          <t>—</t>
        </is>
      </c>
      <c r="I22" s="6" t="inlineStr">
        <is>
          <t>—</t>
        </is>
      </c>
      <c r="J22" s="6" t="inlineStr">
        <is>
          <t>—</t>
        </is>
      </c>
      <c r="K22" s="6" t="inlineStr">
        <is>
          <t>—</t>
        </is>
      </c>
      <c r="L22" s="6" t="inlineStr">
        <is>
          <t>—</t>
        </is>
      </c>
      <c r="M22" s="6" t="inlineStr">
        <is>
          <t>—</t>
        </is>
      </c>
      <c r="N22" s="6" t="inlineStr">
        <is>
          <t>SUPPORT EQUIPMENT</t>
        </is>
      </c>
    </row>
    <row r="23">
      <c r="A23" s="6" t="inlineStr">
        <is>
          <t>EQ-011</t>
        </is>
      </c>
      <c r="B23" s="6" t="inlineStr">
        <is>
          <t>Facility Infra</t>
        </is>
      </c>
      <c r="C23" s="6" t="inlineStr">
        <is>
          <t>Dry-Type Transformer</t>
        </is>
      </c>
      <c r="D23" s="6" t="inlineStr">
        <is>
          <t>N/A</t>
        </is>
      </c>
      <c r="E23" s="43" t="n">
        <v>2</v>
      </c>
      <c r="F23" s="43" t="n">
        <v>8760</v>
      </c>
      <c r="G23" s="32">
        <f>$B$8</f>
        <v/>
      </c>
      <c r="H23" s="6" t="inlineStr">
        <is>
          <t>—</t>
        </is>
      </c>
      <c r="I23" s="6" t="inlineStr">
        <is>
          <t>—</t>
        </is>
      </c>
      <c r="J23" s="6" t="inlineStr">
        <is>
          <t>—</t>
        </is>
      </c>
      <c r="K23" s="6" t="inlineStr">
        <is>
          <t>—</t>
        </is>
      </c>
      <c r="L23" s="6" t="inlineStr">
        <is>
          <t>—</t>
        </is>
      </c>
      <c r="M23" s="6" t="inlineStr">
        <is>
          <t>—</t>
        </is>
      </c>
      <c r="N23" s="6" t="inlineStr">
        <is>
          <t>SUPPORT EQUIPMENT</t>
        </is>
      </c>
    </row>
    <row r="24">
      <c r="A24" s="6" t="inlineStr">
        <is>
          <t>EQ-012</t>
        </is>
      </c>
      <c r="B24" s="6" t="inlineStr">
        <is>
          <t>Facility Infra – Cooling</t>
        </is>
      </c>
      <c r="C24" s="6" t="inlineStr">
        <is>
          <t>Process Chiller System</t>
        </is>
      </c>
      <c r="D24" s="6" t="inlineStr">
        <is>
          <t>N/A</t>
        </is>
      </c>
      <c r="E24" s="43" t="n">
        <v>3</v>
      </c>
      <c r="F24" s="43" t="n">
        <v>8760</v>
      </c>
      <c r="G24" s="32">
        <f>$B$8</f>
        <v/>
      </c>
      <c r="H24" s="6" t="inlineStr">
        <is>
          <t>—</t>
        </is>
      </c>
      <c r="I24" s="6" t="inlineStr">
        <is>
          <t>—</t>
        </is>
      </c>
      <c r="J24" s="6" t="inlineStr">
        <is>
          <t>—</t>
        </is>
      </c>
      <c r="K24" s="6" t="inlineStr">
        <is>
          <t>—</t>
        </is>
      </c>
      <c r="L24" s="6" t="inlineStr">
        <is>
          <t>—</t>
        </is>
      </c>
      <c r="M24" s="6" t="inlineStr">
        <is>
          <t>—</t>
        </is>
      </c>
      <c r="N24" s="6" t="inlineStr">
        <is>
          <t>SUPPORT EQUIPMENT</t>
        </is>
      </c>
    </row>
    <row r="25">
      <c r="A25" s="6" t="inlineStr">
        <is>
          <t>EQ-013</t>
        </is>
      </c>
      <c r="B25" s="6" t="inlineStr">
        <is>
          <t>Vacuum Pump System</t>
        </is>
      </c>
      <c r="C25" s="6" t="inlineStr">
        <is>
          <t>Roots Blower Booster</t>
        </is>
      </c>
      <c r="D25" s="6" t="inlineStr">
        <is>
          <t>N/A</t>
        </is>
      </c>
      <c r="E25" s="43" t="n">
        <v>6</v>
      </c>
      <c r="F25" s="43" t="n">
        <v>8320</v>
      </c>
      <c r="G25" s="32">
        <f>$B$8</f>
        <v/>
      </c>
      <c r="H25" s="6" t="inlineStr">
        <is>
          <t>—</t>
        </is>
      </c>
      <c r="I25" s="6" t="inlineStr">
        <is>
          <t>—</t>
        </is>
      </c>
      <c r="J25" s="6" t="inlineStr">
        <is>
          <t>—</t>
        </is>
      </c>
      <c r="K25" s="6" t="inlineStr">
        <is>
          <t>—</t>
        </is>
      </c>
      <c r="L25" s="6" t="inlineStr">
        <is>
          <t>—</t>
        </is>
      </c>
      <c r="M25" s="6" t="inlineStr">
        <is>
          <t>—</t>
        </is>
      </c>
      <c r="N25" s="6" t="inlineStr">
        <is>
          <t>SUPPORT EQUIPMENT</t>
        </is>
      </c>
    </row>
    <row r="26">
      <c r="A26" s="6" t="inlineStr">
        <is>
          <t>EQ-014</t>
        </is>
      </c>
      <c r="B26" s="6" t="inlineStr">
        <is>
          <t>High-Temp Furnace</t>
        </is>
      </c>
      <c r="C26" s="6" t="inlineStr">
        <is>
          <t>RTP – Rapid Thermal Processor</t>
        </is>
      </c>
      <c r="D26" s="43" t="n">
        <v>32</v>
      </c>
      <c r="E26" s="43" t="n">
        <v>2</v>
      </c>
      <c r="F26" s="43" t="n">
        <v>8320</v>
      </c>
      <c r="G26" s="32">
        <f>$B$8</f>
        <v/>
      </c>
      <c r="H26" s="66">
        <f>D26*E26*F26*G26*$B$9</f>
        <v/>
      </c>
      <c r="I26" s="66">
        <f>$B$10</f>
        <v/>
      </c>
      <c r="J26" s="66">
        <f>H26-I26</f>
        <v/>
      </c>
      <c r="K26" s="32">
        <f>I26/H26</f>
        <v/>
      </c>
      <c r="L26" s="66">
        <f>$B$11</f>
        <v/>
      </c>
      <c r="M26" s="32">
        <f>L26/H26</f>
        <v/>
      </c>
      <c r="N26" s="6" t="inlineStr">
        <is>
          <t>⚠ BOTTLENECK (portfolio-level surge &gt;72% utilization)</t>
        </is>
      </c>
    </row>
    <row r="27">
      <c r="A27" s="6" t="inlineStr">
        <is>
          <t>EQ-015</t>
        </is>
      </c>
      <c r="B27" s="6" t="inlineStr">
        <is>
          <t>Robotics / Automation</t>
        </is>
      </c>
      <c r="C27" s="6" t="inlineStr">
        <is>
          <t>AMR Fleet (x10)</t>
        </is>
      </c>
      <c r="D27" s="6" t="inlineStr">
        <is>
          <t>N/A</t>
        </is>
      </c>
      <c r="E27" s="43" t="n">
        <v>1</v>
      </c>
      <c r="F27" s="43" t="n">
        <v>8320</v>
      </c>
      <c r="G27" s="32">
        <f>$B$8</f>
        <v/>
      </c>
      <c r="H27" s="6" t="inlineStr">
        <is>
          <t>—</t>
        </is>
      </c>
      <c r="I27" s="6" t="inlineStr">
        <is>
          <t>—</t>
        </is>
      </c>
      <c r="J27" s="6" t="inlineStr">
        <is>
          <t>—</t>
        </is>
      </c>
      <c r="K27" s="6" t="inlineStr">
        <is>
          <t>—</t>
        </is>
      </c>
      <c r="L27" s="6" t="inlineStr">
        <is>
          <t>—</t>
        </is>
      </c>
      <c r="M27" s="6" t="inlineStr">
        <is>
          <t>—</t>
        </is>
      </c>
      <c r="N27" s="6" t="inlineStr">
        <is>
          <t>SUPPORT EQUIPMENT</t>
        </is>
      </c>
    </row>
    <row r="30" ht="18" customHeight="1">
      <c r="A30" s="74" t="inlineStr">
        <is>
          <t>CAPACITY SUMMARY &amp; BOTTLENECK ANALYSIS</t>
        </is>
      </c>
    </row>
    <row r="31">
      <c r="A31" t="inlineStr">
        <is>
          <t>Total Annual Capacity (Process Tools Only)</t>
        </is>
      </c>
      <c r="B31" s="80">
        <f>SUM(H17,H18,H26)</f>
        <v/>
      </c>
    </row>
    <row r="32">
      <c r="A32" t="inlineStr">
        <is>
          <t>Baseline Demand</t>
        </is>
      </c>
      <c r="B32" s="79">
        <f>B10</f>
        <v/>
      </c>
    </row>
    <row r="33">
      <c r="A33" t="inlineStr">
        <is>
          <t>Baseline Capacity Cushion</t>
        </is>
      </c>
      <c r="B33" s="79">
        <f>B31-B32</f>
        <v/>
      </c>
    </row>
    <row r="34">
      <c r="A34" t="inlineStr">
        <is>
          <t>Baseline Utilization</t>
        </is>
      </c>
      <c r="B34" s="77">
        <f>B29/B31</f>
        <v/>
      </c>
    </row>
    <row r="35">
      <c r="A35" t="inlineStr">
        <is>
          <t>Surge Demand (+20%)</t>
        </is>
      </c>
      <c r="B35" s="79">
        <f>B11</f>
        <v/>
      </c>
    </row>
    <row r="36">
      <c r="A36" t="inlineStr">
        <is>
          <t>Bottleneck Equipment (Surge)</t>
        </is>
      </c>
      <c r="B36" t="inlineStr">
        <is>
          <t>Batch Oxidation Furnace (EQ-004) — lowest individual Annual Capacity among process tools</t>
        </is>
      </c>
    </row>
    <row r="37">
      <c r="A37" t="inlineStr">
        <is>
          <t>Max Surge Utilization</t>
        </is>
      </c>
      <c r="B37" s="77">
        <f>B11/B31</f>
        <v/>
      </c>
    </row>
  </sheetData>
  <mergeCells count="5">
    <mergeCell ref="A30:B30"/>
    <mergeCell ref="A4:D4"/>
    <mergeCell ref="A2:N2"/>
    <mergeCell ref="A13:N13"/>
    <mergeCell ref="A1:N1"/>
  </mergeCells>
  <pageMargins left="0.75" right="0.75" top="1" bottom="1" header="0.5" footer="0.5"/>
</worksheet>
</file>

<file path=xl/worksheets/sheet15.xml><?xml version="1.0" encoding="utf-8"?>
<worksheet xmlns="http://schemas.openxmlformats.org/spreadsheetml/2006/main">
  <sheetPr>
    <tabColor rgb="002E7D32"/>
    <outlinePr summaryBelow="1" summaryRight="1"/>
    <pageSetUpPr/>
  </sheetPr>
  <dimension ref="A1:M32"/>
  <sheetViews>
    <sheetView workbookViewId="0">
      <pane ySplit="12" topLeftCell="A13" activePane="bottomLeft" state="frozen"/>
      <selection pane="bottomLeft" activeCell="A1" sqref="A1"/>
    </sheetView>
  </sheetViews>
  <sheetFormatPr baseColWidth="8" defaultRowHeight="15"/>
  <cols>
    <col width="10" customWidth="1" min="1" max="1"/>
    <col width="34" customWidth="1" min="2" max="2"/>
    <col width="13" customWidth="1" min="3" max="3"/>
    <col width="13" customWidth="1" min="4" max="4"/>
    <col width="12" customWidth="1" min="5" max="5"/>
    <col width="13" customWidth="1" min="6" max="6"/>
    <col width="12" customWidth="1" min="7" max="7"/>
    <col width="12" customWidth="1" min="8" max="8"/>
    <col width="13" customWidth="1" min="9" max="9"/>
    <col width="12" customWidth="1" min="10" max="10"/>
    <col width="16" customWidth="1" min="11" max="11"/>
    <col width="15" customWidth="1" min="12" max="12"/>
    <col width="9" customWidth="1" min="13" max="13"/>
  </cols>
  <sheetData>
    <row r="1" ht="26" customHeight="1">
      <c r="A1" s="69" t="inlineStr">
        <is>
          <t>S11 — Demand Forecast Model — Advanced Manufacturing Program (2023-2025)</t>
        </is>
      </c>
    </row>
    <row r="2" ht="15" customHeight="1">
      <c r="A2" s="2" t="inlineStr">
        <is>
          <t>Time-series demand forecast by product family | Owner: Sourabh Tarodekar | Feeds S10_Capacity_Planning (baseline demand input) | Forecast accuracy tracked quarterly</t>
        </is>
      </c>
    </row>
    <row r="4" ht="18" customHeight="1">
      <c r="A4" s="74" t="inlineStr">
        <is>
          <t>FORECAST ASSUMPTIONS</t>
        </is>
      </c>
    </row>
    <row r="5">
      <c r="A5" s="6" t="inlineStr">
        <is>
          <t>Baseline Annual Demand (2025 program target)</t>
        </is>
      </c>
      <c r="B5" s="65" t="n">
        <v>750000</v>
      </c>
    </row>
    <row r="6">
      <c r="A6" s="6" t="inlineStr">
        <is>
          <t>Surge Scenario (+20%)</t>
        </is>
      </c>
      <c r="B6" s="65" t="n">
        <v>900000</v>
      </c>
    </row>
    <row r="7">
      <c r="A7" s="6" t="inlineStr">
        <is>
          <t>Downside Scenario (-20%)</t>
        </is>
      </c>
      <c r="B7" s="65" t="n">
        <v>600000</v>
      </c>
    </row>
    <row r="8">
      <c r="A8" s="6" t="inlineStr">
        <is>
          <t>Committed Customer Volume (Phase II driver, incremental)</t>
        </is>
      </c>
      <c r="B8" s="65" t="n">
        <v>312000</v>
      </c>
    </row>
    <row r="10" ht="18" customHeight="1">
      <c r="A10" s="74" t="inlineStr">
        <is>
          <t>QUARTERLY FORECAST vs ACTUALS — 2023 THROUGH 2025</t>
        </is>
      </c>
    </row>
    <row r="11" ht="30" customHeight="1">
      <c r="A11" s="70" t="inlineStr">
        <is>
          <t>Period</t>
        </is>
      </c>
      <c r="B11" s="70" t="inlineStr">
        <is>
          <t>Baseline Forecast</t>
        </is>
      </c>
      <c r="C11" s="70" t="inlineStr">
        <is>
          <t>Upside (+20%)</t>
        </is>
      </c>
      <c r="D11" s="70" t="inlineStr">
        <is>
          <t>Downside (-20%)</t>
        </is>
      </c>
      <c r="E11" s="70" t="inlineStr">
        <is>
          <t>Actual/Committed</t>
        </is>
      </c>
      <c r="F11" s="70" t="inlineStr">
        <is>
          <t>Forecast Accuracy (%)</t>
        </is>
      </c>
      <c r="G11" s="70" t="inlineStr">
        <is>
          <t>Rolling 3-Qtr Avg</t>
        </is>
      </c>
      <c r="H11" s="70" t="inlineStr">
        <is>
          <t>Variance vs Fcst</t>
        </is>
      </c>
      <c r="I11" s="70" t="inlineStr">
        <is>
          <t>Status</t>
        </is>
      </c>
      <c r="J11" s="70" t="inlineStr">
        <is>
          <t>Forecast Source</t>
        </is>
      </c>
      <c r="K11" s="70" t="inlineStr">
        <is>
          <t>Notes</t>
        </is>
      </c>
    </row>
    <row r="12">
      <c r="A12" s="6" t="inlineStr">
        <is>
          <t>Q1-2023</t>
        </is>
      </c>
      <c r="B12" s="65" t="n">
        <v>520000</v>
      </c>
      <c r="C12" s="66">
        <f>B12*1.2</f>
        <v/>
      </c>
      <c r="D12" s="66">
        <f>B12*0.8</f>
        <v/>
      </c>
      <c r="E12" s="65" t="n">
        <v>505000</v>
      </c>
      <c r="F12" s="32">
        <f>E12/B12</f>
        <v/>
      </c>
      <c r="G12" s="6" t="inlineStr">
        <is>
          <t>TBC</t>
        </is>
      </c>
      <c r="H12" s="66">
        <f>E12-B12</f>
        <v/>
      </c>
      <c r="I12" s="40" t="inlineStr">
        <is>
          <t>ACTUAL</t>
        </is>
      </c>
      <c r="J12" s="6" t="inlineStr">
        <is>
          <t>S&amp;OP Review</t>
        </is>
      </c>
      <c r="K12" s="8" t="inlineStr">
        <is>
          <t>Production ramp; new process tools qualified Q1</t>
        </is>
      </c>
    </row>
    <row r="13">
      <c r="A13" s="6" t="inlineStr">
        <is>
          <t>Q2-2023</t>
        </is>
      </c>
      <c r="B13" s="65" t="n">
        <v>540000</v>
      </c>
      <c r="C13" s="66">
        <f>B13*1.2</f>
        <v/>
      </c>
      <c r="D13" s="66">
        <f>B13*0.8</f>
        <v/>
      </c>
      <c r="E13" s="65" t="n">
        <v>528000</v>
      </c>
      <c r="F13" s="32">
        <f>E13/B13</f>
        <v/>
      </c>
      <c r="G13" s="6" t="inlineStr">
        <is>
          <t>TBC</t>
        </is>
      </c>
      <c r="H13" s="66">
        <f>E13-B13</f>
        <v/>
      </c>
      <c r="I13" s="40" t="inlineStr">
        <is>
          <t>ACTUAL</t>
        </is>
      </c>
      <c r="J13" s="6" t="inlineStr">
        <is>
          <t>S&amp;OP Review</t>
        </is>
      </c>
      <c r="K13" s="8" t="inlineStr">
        <is>
          <t>Slight volume shortfall; MES integration delay</t>
        </is>
      </c>
    </row>
    <row r="14">
      <c r="A14" s="6" t="inlineStr">
        <is>
          <t>Q3-2023</t>
        </is>
      </c>
      <c r="B14" s="65" t="n">
        <v>565000</v>
      </c>
      <c r="C14" s="66">
        <f>B14*1.2</f>
        <v/>
      </c>
      <c r="D14" s="66">
        <f>B14*0.8</f>
        <v/>
      </c>
      <c r="E14" s="65" t="n">
        <v>571000</v>
      </c>
      <c r="F14" s="32">
        <f>E14/B14</f>
        <v/>
      </c>
      <c r="G14" s="66">
        <f>IFERROR(AVERAGE(E12:E14),AVERAGE(E12:E13))</f>
        <v/>
      </c>
      <c r="H14" s="66">
        <f>E14-B14</f>
        <v/>
      </c>
      <c r="I14" s="40" t="inlineStr">
        <is>
          <t>ACTUAL</t>
        </is>
      </c>
      <c r="J14" s="6" t="inlineStr">
        <is>
          <t>S&amp;OP Review</t>
        </is>
      </c>
      <c r="K14" s="8" t="inlineStr">
        <is>
          <t>On track; customer pull-in request +6K units</t>
        </is>
      </c>
    </row>
    <row r="15">
      <c r="A15" s="6" t="inlineStr">
        <is>
          <t>Q4-2023</t>
        </is>
      </c>
      <c r="B15" s="65" t="n">
        <v>575000</v>
      </c>
      <c r="C15" s="66">
        <f>B15*1.2</f>
        <v/>
      </c>
      <c r="D15" s="66">
        <f>B15*0.8</f>
        <v/>
      </c>
      <c r="E15" s="65" t="n">
        <v>567000</v>
      </c>
      <c r="F15" s="32">
        <f>E15/B15</f>
        <v/>
      </c>
      <c r="G15" s="66">
        <f>IFERROR(AVERAGE(E13:E15),AVERAGE(E13:E14))</f>
        <v/>
      </c>
      <c r="H15" s="66">
        <f>E15-B15</f>
        <v/>
      </c>
      <c r="I15" s="40" t="inlineStr">
        <is>
          <t>ACTUAL</t>
        </is>
      </c>
      <c r="J15" s="6" t="inlineStr">
        <is>
          <t>S&amp;OP Review</t>
        </is>
      </c>
      <c r="K15" s="8" t="inlineStr">
        <is>
          <t>Seasonal demand pattern confirmed</t>
        </is>
      </c>
    </row>
    <row r="16">
      <c r="A16" s="6" t="inlineStr">
        <is>
          <t>Q1-2024</t>
        </is>
      </c>
      <c r="B16" s="65" t="n">
        <v>590000</v>
      </c>
      <c r="C16" s="66">
        <f>B16*1.2</f>
        <v/>
      </c>
      <c r="D16" s="66">
        <f>B16*0.8</f>
        <v/>
      </c>
      <c r="E16" s="65" t="n">
        <v>580000</v>
      </c>
      <c r="F16" s="32">
        <f>E16/B16</f>
        <v/>
      </c>
      <c r="G16" s="66">
        <f>IFERROR(AVERAGE(E14:E16),AVERAGE(E14:E15))</f>
        <v/>
      </c>
      <c r="H16" s="66">
        <f>E16-B16</f>
        <v/>
      </c>
      <c r="I16" s="40" t="inlineStr">
        <is>
          <t>ACTUAL</t>
        </is>
      </c>
      <c r="J16" s="6" t="inlineStr">
        <is>
          <t>S&amp;OP Review</t>
        </is>
      </c>
      <c r="K16" s="8" t="inlineStr">
        <is>
          <t>Q1 softness as expected; customer forecast revised</t>
        </is>
      </c>
    </row>
    <row r="17">
      <c r="A17" s="6" t="inlineStr">
        <is>
          <t>Q2-2024</t>
        </is>
      </c>
      <c r="B17" s="65" t="n">
        <v>610000</v>
      </c>
      <c r="C17" s="66">
        <f>B17*1.2</f>
        <v/>
      </c>
      <c r="D17" s="66">
        <f>B17*0.8</f>
        <v/>
      </c>
      <c r="E17" s="65" t="n">
        <v>624000</v>
      </c>
      <c r="F17" s="32">
        <f>E17/B17</f>
        <v/>
      </c>
      <c r="G17" s="66">
        <f>IFERROR(AVERAGE(E15:E17),AVERAGE(E15:E16))</f>
        <v/>
      </c>
      <c r="H17" s="66">
        <f>E17-B17</f>
        <v/>
      </c>
      <c r="I17" s="40" t="inlineStr">
        <is>
          <t>ACTUAL</t>
        </is>
      </c>
      <c r="J17" s="6" t="inlineStr">
        <is>
          <t>S&amp;OP Review</t>
        </is>
      </c>
      <c r="K17" s="8" t="inlineStr">
        <is>
          <t>Strong pull; customer volume commitment +35K</t>
        </is>
      </c>
    </row>
    <row r="18">
      <c r="A18" s="6" t="inlineStr">
        <is>
          <t>Q3-2024</t>
        </is>
      </c>
      <c r="B18" s="65" t="n">
        <v>630000</v>
      </c>
      <c r="C18" s="66">
        <f>B18*1.2</f>
        <v/>
      </c>
      <c r="D18" s="66">
        <f>B18*0.8</f>
        <v/>
      </c>
      <c r="E18" s="65" t="n">
        <v>618000</v>
      </c>
      <c r="F18" s="32">
        <f>E18/B18</f>
        <v/>
      </c>
      <c r="G18" s="66">
        <f>IFERROR(AVERAGE(E16:E18),AVERAGE(E16:E17))</f>
        <v/>
      </c>
      <c r="H18" s="66">
        <f>E18-B18</f>
        <v/>
      </c>
      <c r="I18" s="40" t="inlineStr">
        <is>
          <t>ACTUAL</t>
        </is>
      </c>
      <c r="J18" s="6" t="inlineStr">
        <is>
          <t>S&amp;OP Review</t>
        </is>
      </c>
      <c r="K18" s="8" t="inlineStr">
        <is>
          <t>Slight miss due to competitor product shift</t>
        </is>
      </c>
    </row>
    <row r="19">
      <c r="A19" s="6" t="inlineStr">
        <is>
          <t>Q4-2024</t>
        </is>
      </c>
      <c r="B19" s="65" t="n">
        <v>650000</v>
      </c>
      <c r="C19" s="66">
        <f>B19*1.2</f>
        <v/>
      </c>
      <c r="D19" s="66">
        <f>B19*0.8</f>
        <v/>
      </c>
      <c r="E19" s="65" t="n">
        <v>661000</v>
      </c>
      <c r="F19" s="32">
        <f>E19/B19</f>
        <v/>
      </c>
      <c r="G19" s="66">
        <f>IFERROR(AVERAGE(E17:E19),AVERAGE(E17:E18))</f>
        <v/>
      </c>
      <c r="H19" s="66">
        <f>E19-B19</f>
        <v/>
      </c>
      <c r="I19" s="40" t="inlineStr">
        <is>
          <t>ACTUAL</t>
        </is>
      </c>
      <c r="J19" s="6" t="inlineStr">
        <is>
          <t>S&amp;OP Review</t>
        </is>
      </c>
      <c r="K19" s="8" t="inlineStr">
        <is>
          <t>Year-end strong; customer forecast upgrade for 2025 Phase II program</t>
        </is>
      </c>
    </row>
    <row r="20">
      <c r="A20" s="6" t="inlineStr">
        <is>
          <t>Q1-2025</t>
        </is>
      </c>
      <c r="B20" s="65" t="n">
        <v>680000</v>
      </c>
      <c r="C20" s="66">
        <f>B20*1.2</f>
        <v/>
      </c>
      <c r="D20" s="66">
        <f>B20*0.8</f>
        <v/>
      </c>
      <c r="E20" s="65" t="n">
        <v>675000</v>
      </c>
      <c r="F20" s="32">
        <f>E20/B20</f>
        <v/>
      </c>
      <c r="G20" s="66">
        <f>IFERROR(AVERAGE(E18:E20),AVERAGE(E18:E19))</f>
        <v/>
      </c>
      <c r="H20" s="66">
        <f>E20-B20</f>
        <v/>
      </c>
      <c r="I20" s="40" t="inlineStr">
        <is>
          <t>ACTUAL</t>
        </is>
      </c>
      <c r="J20" s="6" t="inlineStr">
        <is>
          <t>S&amp;OP Review</t>
        </is>
      </c>
      <c r="K20" s="8" t="inlineStr">
        <is>
          <t>Phase II program approved; capacity expansion underway</t>
        </is>
      </c>
    </row>
    <row r="21">
      <c r="A21" s="6" t="inlineStr">
        <is>
          <t>Q2-2025</t>
        </is>
      </c>
      <c r="B21" s="65" t="n">
        <v>710000</v>
      </c>
      <c r="C21" s="66">
        <f>B21*1.2</f>
        <v/>
      </c>
      <c r="D21" s="66">
        <f>B21*0.8</f>
        <v/>
      </c>
      <c r="E21" s="65" t="n">
        <v>718000</v>
      </c>
      <c r="F21" s="32">
        <f>E21/B21</f>
        <v/>
      </c>
      <c r="G21" s="66">
        <f>IFERROR(AVERAGE(E19:E21),AVERAGE(E19:E20))</f>
        <v/>
      </c>
      <c r="H21" s="66">
        <f>E21-B21</f>
        <v/>
      </c>
      <c r="I21" s="40" t="inlineStr">
        <is>
          <t>ACTUAL</t>
        </is>
      </c>
      <c r="J21" s="6" t="inlineStr">
        <is>
          <t>S&amp;OP Review</t>
        </is>
      </c>
      <c r="K21" s="8" t="inlineStr">
        <is>
          <t>All POs placed; equipment in fabrication</t>
        </is>
      </c>
    </row>
    <row r="22">
      <c r="A22" s="6" t="inlineStr">
        <is>
          <t>Q3-2025</t>
        </is>
      </c>
      <c r="B22" s="65" t="n">
        <v>735000</v>
      </c>
      <c r="C22" s="66">
        <f>B22*1.2</f>
        <v/>
      </c>
      <c r="D22" s="66">
        <f>B22*0.8</f>
        <v/>
      </c>
      <c r="E22" s="6" t="inlineStr">
        <is>
          <t>TBC</t>
        </is>
      </c>
      <c r="F22" s="6" t="inlineStr">
        <is>
          <t>TBC</t>
        </is>
      </c>
      <c r="G22" s="66">
        <f>IFERROR(AVERAGE(E20:E22),AVERAGE(E20:E21))</f>
        <v/>
      </c>
      <c r="H22" s="6" t="inlineStr">
        <is>
          <t>TBC</t>
        </is>
      </c>
      <c r="I22" s="75" t="inlineStr">
        <is>
          <t>FORECAST</t>
        </is>
      </c>
      <c r="J22" s="6" t="inlineStr">
        <is>
          <t>S&amp;OP Review</t>
        </is>
      </c>
      <c r="K22" s="8" t="inlineStr">
        <is>
          <t>Forecast confirmed; delivery/install on schedule</t>
        </is>
      </c>
    </row>
    <row r="23">
      <c r="A23" s="6" t="inlineStr">
        <is>
          <t>Q4-2025</t>
        </is>
      </c>
      <c r="B23" s="65" t="n">
        <v>750000</v>
      </c>
      <c r="C23" s="66">
        <f>B23*1.2</f>
        <v/>
      </c>
      <c r="D23" s="66">
        <f>B23*0.8</f>
        <v/>
      </c>
      <c r="E23" s="6" t="inlineStr">
        <is>
          <t>TBC</t>
        </is>
      </c>
      <c r="F23" s="6" t="inlineStr">
        <is>
          <t>TBC</t>
        </is>
      </c>
      <c r="G23" s="66">
        <f>IFERROR(AVERAGE(E21:E23),AVERAGE(E21:E22))</f>
        <v/>
      </c>
      <c r="H23" s="6" t="inlineStr">
        <is>
          <t>TBC</t>
        </is>
      </c>
      <c r="I23" s="75" t="inlineStr">
        <is>
          <t>FORECAST</t>
        </is>
      </c>
      <c r="J23" s="6" t="inlineStr">
        <is>
          <t>S&amp;OP Review</t>
        </is>
      </c>
      <c r="K23" s="8" t="inlineStr">
        <is>
          <t>TARGET: G5 production release; full capacity online</t>
        </is>
      </c>
    </row>
    <row r="26" ht="18" customHeight="1">
      <c r="A26" s="74" t="inlineStr">
        <is>
          <t>DEMAND BY PRODUCT FAMILY — 2025 ANNUAL FORECAST</t>
        </is>
      </c>
    </row>
    <row r="27" ht="30" customHeight="1">
      <c r="A27" s="70" t="inlineStr">
        <is>
          <t>Product Family</t>
        </is>
      </c>
      <c r="B27" s="70" t="inlineStr">
        <is>
          <t>Description</t>
        </is>
      </c>
      <c r="C27" s="70" t="inlineStr">
        <is>
          <t>2023 Actual</t>
        </is>
      </c>
      <c r="D27" s="70" t="inlineStr">
        <is>
          <t>2024 Actual</t>
        </is>
      </c>
      <c r="E27" s="70" t="inlineStr">
        <is>
          <t>Q1-2025</t>
        </is>
      </c>
      <c r="F27" s="70" t="inlineStr">
        <is>
          <t>Q2-2025</t>
        </is>
      </c>
      <c r="G27" s="70" t="inlineStr">
        <is>
          <t>Q3-2025</t>
        </is>
      </c>
      <c r="H27" s="70" t="inlineStr">
        <is>
          <t>Q4-2025</t>
        </is>
      </c>
      <c r="I27" s="70" t="inlineStr">
        <is>
          <t>2025 Forecast</t>
        </is>
      </c>
      <c r="J27" s="70" t="inlineStr">
        <is>
          <t>CAGR 2023-&gt;25</t>
        </is>
      </c>
      <c r="K27" s="70" t="inlineStr">
        <is>
          <t>Required Capacity (u/hr)</t>
        </is>
      </c>
      <c r="L27" s="70" t="inlineStr">
        <is>
          <t>Constrained by Equip</t>
        </is>
      </c>
      <c r="M27" s="70" t="inlineStr">
        <is>
          <t>Priority</t>
        </is>
      </c>
    </row>
    <row r="28">
      <c r="A28" s="6" t="inlineStr">
        <is>
          <t>PF-A</t>
        </is>
      </c>
      <c r="B28" s="6" t="inlineStr">
        <is>
          <t>Advanced Process Products (High-Temp Furnace)</t>
        </is>
      </c>
      <c r="C28" s="65" t="n">
        <v>210000</v>
      </c>
      <c r="D28" s="65" t="n">
        <v>260000</v>
      </c>
      <c r="E28" s="65" t="n">
        <v>70000</v>
      </c>
      <c r="F28" s="65" t="n">
        <v>73000</v>
      </c>
      <c r="G28" s="65" t="n">
        <v>78000</v>
      </c>
      <c r="H28" s="65" t="n">
        <v>79000</v>
      </c>
      <c r="I28" s="66">
        <f>SUM(E28:H28)</f>
        <v/>
      </c>
      <c r="J28" s="32">
        <f>IFERROR((I28/C28)^(1/2)-1,0)</f>
        <v/>
      </c>
      <c r="K28" s="33">
        <f>I28/8320/0.88/0.96</f>
        <v/>
      </c>
      <c r="L28" s="6" t="inlineStr">
        <is>
          <t>EQ-003/004</t>
        </is>
      </c>
      <c r="M28" s="6" t="n">
        <v>1</v>
      </c>
    </row>
    <row r="29">
      <c r="A29" s="6" t="inlineStr">
        <is>
          <t>PF-B</t>
        </is>
      </c>
      <c r="B29" s="6" t="inlineStr">
        <is>
          <t>Precision Robotics Assembly</t>
        </is>
      </c>
      <c r="C29" s="65" t="n">
        <v>150000</v>
      </c>
      <c r="D29" s="65" t="n">
        <v>190000</v>
      </c>
      <c r="E29" s="65" t="n">
        <v>54000</v>
      </c>
      <c r="F29" s="65" t="n">
        <v>56000</v>
      </c>
      <c r="G29" s="65" t="n">
        <v>58000</v>
      </c>
      <c r="H29" s="65" t="n">
        <v>57000</v>
      </c>
      <c r="I29" s="66">
        <f>SUM(E29:H29)</f>
        <v/>
      </c>
      <c r="J29" s="32">
        <f>IFERROR((I29/C29)^(1/2)-1,0)</f>
        <v/>
      </c>
      <c r="K29" s="33">
        <f>I29/8320/0.88/0.96</f>
        <v/>
      </c>
      <c r="L29" s="6" t="inlineStr">
        <is>
          <t>EQ-005</t>
        </is>
      </c>
      <c r="M29" s="6" t="n">
        <v>2</v>
      </c>
    </row>
    <row r="30">
      <c r="A30" s="6" t="inlineStr">
        <is>
          <t>PF-C</t>
        </is>
      </c>
      <c r="B30" s="6" t="inlineStr">
        <is>
          <t>Gas-Phase Deposition (RTP Products)</t>
        </is>
      </c>
      <c r="C30" s="65" t="n">
        <v>115000</v>
      </c>
      <c r="D30" s="65" t="n">
        <v>142000</v>
      </c>
      <c r="E30" s="65" t="n">
        <v>36000</v>
      </c>
      <c r="F30" s="65" t="n">
        <v>37000</v>
      </c>
      <c r="G30" s="65" t="n">
        <v>38000</v>
      </c>
      <c r="H30" s="65" t="n">
        <v>39000</v>
      </c>
      <c r="I30" s="66">
        <f>SUM(E30:H30)</f>
        <v/>
      </c>
      <c r="J30" s="32">
        <f>IFERROR((I30/C30)^(1/2)-1,0)</f>
        <v/>
      </c>
      <c r="K30" s="33">
        <f>I30/8320/0.88/0.96</f>
        <v/>
      </c>
      <c r="L30" s="6" t="inlineStr">
        <is>
          <t>EQ-014</t>
        </is>
      </c>
      <c r="M30" s="6" t="n">
        <v>3</v>
      </c>
    </row>
    <row r="31">
      <c r="A31" s="6" t="inlineStr">
        <is>
          <t>PF-D</t>
        </is>
      </c>
      <c r="B31" s="6" t="inlineStr">
        <is>
          <t>Infrastructure / Support Builds</t>
        </is>
      </c>
      <c r="C31" s="65" t="n">
        <v>75000</v>
      </c>
      <c r="D31" s="65" t="n">
        <v>58000</v>
      </c>
      <c r="E31" s="65" t="n">
        <v>18000</v>
      </c>
      <c r="F31" s="65" t="n">
        <v>18500</v>
      </c>
      <c r="G31" s="65" t="n">
        <v>19000</v>
      </c>
      <c r="H31" s="65" t="n">
        <v>19500</v>
      </c>
      <c r="I31" s="66">
        <f>SUM(E31:H31)</f>
        <v/>
      </c>
      <c r="J31" s="32">
        <f>IFERROR((I31/C31)^(1/2)-1,0)</f>
        <v/>
      </c>
      <c r="K31" s="33">
        <f>I31/8320/0.88/0.96</f>
        <v/>
      </c>
      <c r="L31" s="6" t="inlineStr">
        <is>
          <t>EQ-009/010</t>
        </is>
      </c>
      <c r="M31" s="6" t="n">
        <v>4</v>
      </c>
    </row>
    <row r="32">
      <c r="A32" s="71" t="inlineStr">
        <is>
          <t>TOTAL</t>
        </is>
      </c>
      <c r="B32" s="71" t="inlineStr">
        <is>
          <t>All Product Families</t>
        </is>
      </c>
      <c r="C32" s="81">
        <f>SUM(C28:C31)</f>
        <v/>
      </c>
      <c r="D32" s="81">
        <f>SUM(D28:D31)</f>
        <v/>
      </c>
      <c r="E32" s="81">
        <f>SUM(E28:E31)</f>
        <v/>
      </c>
      <c r="F32" s="81">
        <f>SUM(F28:F31)</f>
        <v/>
      </c>
      <c r="G32" s="81">
        <f>SUM(G28:G31)</f>
        <v/>
      </c>
      <c r="H32" s="81">
        <f>SUM(H28:H31)</f>
        <v/>
      </c>
      <c r="I32" s="81">
        <f>SUM(I28:I31)</f>
        <v/>
      </c>
      <c r="J32" s="18" t="n"/>
      <c r="K32" s="18" t="n"/>
      <c r="L32" s="18" t="n"/>
      <c r="M32" s="18" t="n"/>
    </row>
  </sheetData>
  <mergeCells count="5">
    <mergeCell ref="A4:B4"/>
    <mergeCell ref="A2:K2"/>
    <mergeCell ref="A26:M26"/>
    <mergeCell ref="A10:K10"/>
    <mergeCell ref="A1:K1"/>
  </mergeCells>
  <pageMargins left="0.75" right="0.75" top="1" bottom="1" header="0.5" footer="0.5"/>
</worksheet>
</file>

<file path=xl/worksheets/sheet16.xml><?xml version="1.0" encoding="utf-8"?>
<worksheet xmlns="http://schemas.openxmlformats.org/spreadsheetml/2006/main">
  <sheetPr>
    <tabColor rgb="00E67E22"/>
    <outlinePr summaryBelow="1" summaryRight="1"/>
    <pageSetUpPr/>
  </sheetPr>
  <dimension ref="A1:H52"/>
  <sheetViews>
    <sheetView workbookViewId="0">
      <selection activeCell="A1" sqref="A1"/>
    </sheetView>
  </sheetViews>
  <sheetFormatPr baseColWidth="8" defaultRowHeight="15"/>
  <cols>
    <col width="32" customWidth="1" min="1" max="1"/>
    <col width="20" customWidth="1" min="2" max="2"/>
    <col width="18" customWidth="1" min="3" max="3"/>
    <col width="22" customWidth="1" min="4" max="4"/>
    <col width="20" customWidth="1" min="5" max="5"/>
    <col width="16" customWidth="1" min="6" max="6"/>
    <col width="14" customWidth="1" min="7" max="7"/>
    <col width="34" customWidth="1" min="8" max="8"/>
  </cols>
  <sheetData>
    <row r="1" ht="26" customHeight="1">
      <c r="A1" s="82" t="inlineStr">
        <is>
          <t>S12 — Capital Appropriations Request (AR) Summary — Greenfield Expansion Phase II</t>
        </is>
      </c>
    </row>
    <row r="2" ht="15" customHeight="1">
      <c r="A2" s="2" t="inlineStr">
        <is>
          <t>Prepared by: Sourabh Tarodekar, Program Manager | Submitted to: VP Engineering &amp; CFO | Date: 2025-Q1 | AR Number: AR-2025-0082</t>
        </is>
      </c>
    </row>
    <row r="4" ht="18" customHeight="1">
      <c r="A4" s="83" t="inlineStr">
        <is>
          <t>PROGRAM INFORMATION</t>
        </is>
      </c>
    </row>
    <row r="5">
      <c r="A5" s="39" t="inlineStr">
        <is>
          <t>Program Name</t>
        </is>
      </c>
      <c r="B5" s="6" t="inlineStr">
        <is>
          <t>Greenfield Expansion Phase II — Advanced Manufacturing Facility</t>
        </is>
      </c>
      <c r="C5" s="39" t="inlineStr">
        <is>
          <t>Business Unit</t>
        </is>
      </c>
      <c r="D5" s="6" t="inlineStr">
        <is>
          <t>Semiconductor &amp; Advanced Process Division</t>
        </is>
      </c>
    </row>
    <row r="6">
      <c r="A6" s="39" t="inlineStr">
        <is>
          <t>Program Manager</t>
        </is>
      </c>
      <c r="B6" s="6" t="inlineStr">
        <is>
          <t>Sourabh Tarodekar</t>
        </is>
      </c>
      <c r="C6" s="39" t="inlineStr">
        <is>
          <t>Finance Partner</t>
        </is>
      </c>
      <c r="D6" s="6" t="inlineStr">
        <is>
          <t>R. Patel</t>
        </is>
      </c>
    </row>
    <row r="7">
      <c r="A7" s="39" t="inlineStr">
        <is>
          <t>AR Reference</t>
        </is>
      </c>
      <c r="B7" s="6" t="inlineStr">
        <is>
          <t>AR-2025-0082</t>
        </is>
      </c>
      <c r="C7" s="39" t="inlineStr">
        <is>
          <t>Revision</t>
        </is>
      </c>
      <c r="D7" s="6" t="inlineStr">
        <is>
          <t>Rev 1.0 — Initial Submission</t>
        </is>
      </c>
    </row>
    <row r="8">
      <c r="A8" s="39" t="inlineStr">
        <is>
          <t>Submission Date</t>
        </is>
      </c>
      <c r="B8" s="6" t="inlineStr">
        <is>
          <t>2025-03-19</t>
        </is>
      </c>
      <c r="C8" s="39" t="inlineStr">
        <is>
          <t>Required Approval By</t>
        </is>
      </c>
      <c r="D8" s="6" t="inlineStr">
        <is>
          <t>2025-04-07 (Week 4 — Long-lead PO gate)</t>
        </is>
      </c>
    </row>
    <row r="9">
      <c r="A9" s="39" t="inlineStr">
        <is>
          <t>Program Start</t>
        </is>
      </c>
      <c r="B9" s="6" t="inlineStr">
        <is>
          <t>2025-Q2 (Week 1)</t>
        </is>
      </c>
      <c r="C9" s="39" t="inlineStr">
        <is>
          <t>Program End</t>
        </is>
      </c>
      <c r="D9" s="6" t="inlineStr">
        <is>
          <t>2025-Q4 (Week 47 — PQ Complete)</t>
        </is>
      </c>
    </row>
    <row r="10">
      <c r="A10" s="39" t="inlineStr">
        <is>
          <t>Approval Authority</t>
        </is>
      </c>
      <c r="B10" s="6" t="inlineStr">
        <is>
          <t>VP Engineering + CFO (&gt;$10M threshold)</t>
        </is>
      </c>
      <c r="C10" s="39" t="inlineStr">
        <is>
          <t>Cost Centre</t>
        </is>
      </c>
      <c r="D10" s="6" t="inlineStr">
        <is>
          <t>CC-4421 — Manufacturing Capital Projects</t>
        </is>
      </c>
    </row>
    <row r="12" ht="18" customHeight="1">
      <c r="A12" s="83" t="inlineStr">
        <is>
          <t>BUSINESS CASE SUMMARY</t>
        </is>
      </c>
    </row>
    <row r="13" ht="60" customHeight="1">
      <c r="A13" s="38" t="inlineStr">
        <is>
          <t>This appropriations request funds the capital equipment procurement, installation, and qualification of 15 equipment platforms required to establish a new advanced manufacturing process line within the Greenfield Expansion Phase II facility. The program supports a committed customer volume increase of 35% beginning 2025-Q4, requiring new process capacity that cannot be delivered by existing installed equipment. The recommended investment (Scenario B — Baseline Program) delivers 312,000 units/year annual capacity at 92% uptime, with a 10-year NPV of $9.5M over the minimum-CapEx alternative. The program is expected to achieve first production output by Week 47 (2025-Q4).</t>
        </is>
      </c>
    </row>
    <row r="15" ht="18" customHeight="1">
      <c r="A15" s="83" t="inlineStr">
        <is>
          <t>CAPITAL BUDGET SUMMARY</t>
        </is>
      </c>
    </row>
    <row r="16" ht="30" customHeight="1">
      <c r="A16" s="84" t="inlineStr">
        <is>
          <t>Cost Category</t>
        </is>
      </c>
      <c r="B16" s="84" t="inlineStr">
        <is>
          <t>Equipment Count</t>
        </is>
      </c>
      <c r="C16" s="84" t="inlineStr">
        <is>
          <t>Unit Cost Range (USD)</t>
        </is>
      </c>
      <c r="D16" s="84" t="inlineStr">
        <is>
          <t>Total Equipment Cost (USD)</t>
        </is>
      </c>
      <c r="E16" s="84" t="inlineStr">
        <is>
          <t>Installation Cost (USD)</t>
        </is>
      </c>
      <c r="F16" s="84" t="inlineStr">
        <is>
          <t>Total Line Item (USD)</t>
        </is>
      </c>
      <c r="G16" s="84" t="inlineStr">
        <is>
          <t>% of Total CapEx</t>
        </is>
      </c>
    </row>
    <row r="17">
      <c r="A17" s="6" t="inlineStr">
        <is>
          <t>Vacuum Pump Systems</t>
        </is>
      </c>
      <c r="B17" s="43" t="n">
        <v>3</v>
      </c>
      <c r="C17" s="43" t="inlineStr">
        <is>
          <t>$125K-$310K</t>
        </is>
      </c>
      <c r="D17" s="48" t="n">
        <v>2420000</v>
      </c>
      <c r="E17" s="48" t="n">
        <v>256000</v>
      </c>
      <c r="F17" s="31">
        <f>D17+E17</f>
        <v/>
      </c>
      <c r="G17" s="32">
        <f>F17/$F$23</f>
        <v/>
      </c>
    </row>
    <row r="18">
      <c r="A18" s="6" t="inlineStr">
        <is>
          <t>High-Temperature Furnaces</t>
        </is>
      </c>
      <c r="B18" s="43" t="n">
        <v>3</v>
      </c>
      <c r="C18" s="43" t="inlineStr">
        <is>
          <t>$520K-$875K</t>
        </is>
      </c>
      <c r="D18" s="48" t="n">
        <v>4150000</v>
      </c>
      <c r="E18" s="48" t="n">
        <v>314000</v>
      </c>
      <c r="F18" s="31">
        <f>D18+E18</f>
        <v/>
      </c>
      <c r="G18" s="32">
        <f>F18/$F$23</f>
        <v/>
      </c>
    </row>
    <row r="19">
      <c r="A19" s="6" t="inlineStr">
        <is>
          <t>Robotics &amp; Automation</t>
        </is>
      </c>
      <c r="B19" s="43" t="n">
        <v>3</v>
      </c>
      <c r="C19" s="43" t="inlineStr">
        <is>
          <t>$275K-$420K</t>
        </is>
      </c>
      <c r="D19" s="48" t="n">
        <v>2450000</v>
      </c>
      <c r="E19" s="48" t="n">
        <v>238000</v>
      </c>
      <c r="F19" s="31">
        <f>D19+E19</f>
        <v/>
      </c>
      <c r="G19" s="32">
        <f>F19/$F$23</f>
        <v/>
      </c>
    </row>
    <row r="20">
      <c r="A20" s="6" t="inlineStr">
        <is>
          <t>Gas Handling Systems</t>
        </is>
      </c>
      <c r="B20" s="43" t="n">
        <v>2</v>
      </c>
      <c r="C20" s="43" t="inlineStr">
        <is>
          <t>$195K-$340K</t>
        </is>
      </c>
      <c r="D20" s="48" t="n">
        <v>1120000</v>
      </c>
      <c r="E20" s="48" t="n">
        <v>248000</v>
      </c>
      <c r="F20" s="31">
        <f>D20+E20</f>
        <v/>
      </c>
      <c r="G20" s="32">
        <f>F20/$F$23</f>
        <v/>
      </c>
    </row>
    <row r="21">
      <c r="A21" s="6" t="inlineStr">
        <is>
          <t>PLC / Control Systems</t>
        </is>
      </c>
      <c r="B21" s="43" t="n">
        <v>2</v>
      </c>
      <c r="C21" s="43" t="inlineStr">
        <is>
          <t>$85K-$165K</t>
        </is>
      </c>
      <c r="D21" s="48" t="n">
        <v>1080000</v>
      </c>
      <c r="E21" s="48" t="n">
        <v>99000</v>
      </c>
      <c r="F21" s="31">
        <f>D21+E21</f>
        <v/>
      </c>
      <c r="G21" s="32">
        <f>F21/$F$23</f>
        <v/>
      </c>
    </row>
    <row r="22">
      <c r="A22" s="6" t="inlineStr">
        <is>
          <t>Facility Infrastructure</t>
        </is>
      </c>
      <c r="B22" s="43" t="n">
        <v>2</v>
      </c>
      <c r="C22" s="43" t="inlineStr">
        <is>
          <t>$210K-$295K</t>
        </is>
      </c>
      <c r="D22" s="48" t="n">
        <v>1305000</v>
      </c>
      <c r="E22" s="48" t="n">
        <v>190000</v>
      </c>
      <c r="F22" s="31">
        <f>D22+E22</f>
        <v/>
      </c>
      <c r="G22" s="32">
        <f>F22/$F$23</f>
        <v/>
      </c>
    </row>
    <row r="23">
      <c r="A23" s="85" t="inlineStr">
        <is>
          <t>SUBTOTAL — Equipment + Installation</t>
        </is>
      </c>
      <c r="B23" s="19" t="n"/>
      <c r="C23" s="19" t="n"/>
      <c r="D23" s="86">
        <f>SUM(D17:D22)</f>
        <v/>
      </c>
      <c r="E23" s="86">
        <f>SUM(E17:E22)</f>
        <v/>
      </c>
      <c r="F23" s="86">
        <f>D23+E23</f>
        <v/>
      </c>
      <c r="G23" s="87" t="n">
        <v>1</v>
      </c>
    </row>
    <row r="24">
      <c r="A24" s="6" t="inlineStr">
        <is>
          <t>Contingency Reserve (10% of CapEx)</t>
        </is>
      </c>
      <c r="B24" s="6" t="n"/>
      <c r="C24" s="6" t="n"/>
      <c r="D24" s="6" t="n"/>
      <c r="E24" s="6" t="n"/>
      <c r="F24" s="31">
        <f>F23*0.10</f>
        <v/>
      </c>
      <c r="G24" s="6" t="n"/>
    </row>
    <row r="25">
      <c r="A25" s="6" t="inlineStr">
        <is>
          <t>FX Hedge Reserve (EUR + JPY exposure)</t>
        </is>
      </c>
      <c r="B25" s="6" t="n"/>
      <c r="C25" s="6" t="n"/>
      <c r="D25" s="6" t="n"/>
      <c r="E25" s="6" t="n"/>
      <c r="F25" s="48" t="n">
        <v>485000</v>
      </c>
      <c r="G25" s="6" t="n"/>
    </row>
    <row r="26">
      <c r="A26" s="6" t="inlineStr">
        <is>
          <t>Engineering NRE &amp; Program Management</t>
        </is>
      </c>
      <c r="B26" s="6" t="n"/>
      <c r="C26" s="6" t="n"/>
      <c r="D26" s="6" t="n"/>
      <c r="E26" s="6" t="n"/>
      <c r="F26" s="48" t="n">
        <v>320000</v>
      </c>
      <c r="G26" s="6" t="n"/>
    </row>
    <row r="27">
      <c r="A27" s="85" t="inlineStr">
        <is>
          <t>TOTAL APPROPRIATIONS REQUEST (USD)</t>
        </is>
      </c>
      <c r="B27" s="19" t="n"/>
      <c r="C27" s="19" t="n"/>
      <c r="D27" s="19" t="n"/>
      <c r="E27" s="19" t="n"/>
      <c r="F27" s="86">
        <f>F23+F24+F25+F26</f>
        <v/>
      </c>
      <c r="G27" s="19" t="n"/>
    </row>
    <row r="29" ht="30" customHeight="1">
      <c r="A29" s="88" t="inlineStr">
        <is>
          <t>Budget Reconciliation Note: Equipment and installation totals above are derived directly from S02_Equipment_Portfolio (Equipment Purchase Total, Installation Total, Combined CapEx). Scenario Analysis (S13) Scenario B budget of $40.04M represents a broader multi-phase strategic program comparison with different cost assumptions and is not directly comparable to this Phase II AR.</t>
        </is>
      </c>
    </row>
    <row r="31" ht="18" customHeight="1">
      <c r="A31" s="83" t="inlineStr">
        <is>
          <t>FINANCIAL JUSTIFICATION &amp; RETURN METRICS</t>
        </is>
      </c>
    </row>
    <row r="32" ht="30" customHeight="1">
      <c r="A32" s="84" t="inlineStr">
        <is>
          <t>Metric</t>
        </is>
      </c>
      <c r="B32" s="84" t="inlineStr">
        <is>
          <t>Value</t>
        </is>
      </c>
      <c r="C32" s="84" t="inlineStr">
        <is>
          <t>Unit</t>
        </is>
      </c>
      <c r="D32" s="84" t="inlineStr">
        <is>
          <t>Basis / Source</t>
        </is>
      </c>
    </row>
    <row r="33">
      <c r="A33" s="6" t="inlineStr">
        <is>
          <t>10-Year NPV of Investment (vs Min-CapEx alternative)</t>
        </is>
      </c>
      <c r="B33" s="48" t="n">
        <v>9520000</v>
      </c>
      <c r="C33" s="6" t="inlineStr">
        <is>
          <t>$</t>
        </is>
      </c>
      <c r="D33" s="8" t="inlineStr">
        <is>
          <t>Linked to S13 Scenario B vs A NPV calculation</t>
        </is>
      </c>
    </row>
    <row r="34">
      <c r="A34" s="6" t="inlineStr">
        <is>
          <t>Estimated IRR</t>
        </is>
      </c>
      <c r="B34" s="47" t="n">
        <v>0.142</v>
      </c>
      <c r="C34" s="6" t="inlineStr">
        <is>
          <t>%</t>
        </is>
      </c>
      <c r="D34" s="8" t="inlineStr">
        <is>
          <t>Based on incremental OpEx savings over 10 years at 8% WACC</t>
        </is>
      </c>
    </row>
    <row r="35">
      <c r="A35" s="6" t="inlineStr">
        <is>
          <t>Simple Payback Period</t>
        </is>
      </c>
      <c r="B35" s="89" t="n">
        <v>4.2</v>
      </c>
      <c r="C35" s="6" t="inlineStr">
        <is>
          <t>yrs</t>
        </is>
      </c>
      <c r="D35" s="8" t="inlineStr">
        <is>
          <t>Payback of incremental CapEx vs Scenario A through OpEx savings</t>
        </is>
      </c>
    </row>
    <row r="36">
      <c r="A36" s="6" t="inlineStr">
        <is>
          <t>Annual Production Capacity Enabled</t>
        </is>
      </c>
      <c r="B36" s="65" t="n">
        <v>312000</v>
      </c>
      <c r="C36" s="6" t="inlineStr">
        <is>
          <t>units</t>
        </is>
      </c>
      <c r="D36" s="8" t="inlineStr">
        <is>
          <t>At 92% uptime; S10 Capacity Planning model</t>
        </is>
      </c>
    </row>
    <row r="37">
      <c r="A37" s="6" t="inlineStr">
        <is>
          <t>Annual OpEx Savings vs Scenario A</t>
        </is>
      </c>
      <c r="B37" s="48" t="n">
        <v>1390000</v>
      </c>
      <c r="C37" s="6" t="inlineStr">
        <is>
          <t>$/yr</t>
        </is>
      </c>
      <c r="D37" s="8" t="inlineStr">
        <is>
          <t>Energy + maintenance + downtime reduction</t>
        </is>
      </c>
    </row>
    <row r="38">
      <c r="A38" s="6" t="inlineStr">
        <is>
          <t>Equipment Depreciation Method</t>
        </is>
      </c>
      <c r="B38" s="43" t="inlineStr">
        <is>
          <t>MACRS 7-yr</t>
        </is>
      </c>
      <c r="C38" s="6" t="inlineStr">
        <is>
          <t>—</t>
        </is>
      </c>
      <c r="D38" s="8" t="inlineStr">
        <is>
          <t>Per Finance / Tax Counsel guidance</t>
        </is>
      </c>
    </row>
    <row r="39">
      <c r="A39" s="6" t="inlineStr">
        <is>
          <t>After-Tax IRR (21% effective rate)</t>
        </is>
      </c>
      <c r="B39" s="47" t="n">
        <v>0.112</v>
      </c>
      <c r="C39" s="6" t="inlineStr">
        <is>
          <t>%</t>
        </is>
      </c>
      <c r="D39" s="8" t="inlineStr">
        <is>
          <t>Estimated; Finance to confirm in detailed model</t>
        </is>
      </c>
    </row>
    <row r="40">
      <c r="A40" s="6" t="inlineStr">
        <is>
          <t>Revenue Enabled (at $145/unit avg selling price)</t>
        </is>
      </c>
      <c r="B40" s="48" t="n">
        <v>45240000</v>
      </c>
      <c r="C40" s="6" t="inlineStr">
        <is>
          <t>$/yr</t>
        </is>
      </c>
      <c r="D40" s="8" t="inlineStr">
        <is>
          <t>Based on 312K units x $145 ASP</t>
        </is>
      </c>
    </row>
    <row r="42" ht="18" customHeight="1">
      <c r="A42" s="83" t="inlineStr">
        <is>
          <t>KEY RISKS &amp; MITIGATIONS (SUMMARY FOR APPROVERS)</t>
        </is>
      </c>
    </row>
    <row r="43" ht="30" customHeight="1">
      <c r="A43" s="84" t="inlineStr">
        <is>
          <t>Risk</t>
        </is>
      </c>
      <c r="B43" s="84" t="inlineStr">
        <is>
          <t>Impact</t>
        </is>
      </c>
      <c r="C43" s="84" t="inlineStr">
        <is>
          <t>Probability</t>
        </is>
      </c>
      <c r="D43" s="84" t="inlineStr">
        <is>
          <t>Mitigation</t>
        </is>
      </c>
      <c r="E43" s="84" t="inlineStr">
        <is>
          <t>Residual Risk</t>
        </is>
      </c>
    </row>
    <row r="44">
      <c r="A44" s="8" t="inlineStr">
        <is>
          <t>EQ-002 Pfeiffer single-source — no qualified alt supplier</t>
        </is>
      </c>
      <c r="B44" s="8" t="inlineStr">
        <is>
          <t>Schedule delay 4-8 wks if pump fails or delivery slips</t>
        </is>
      </c>
      <c r="C44" s="46" t="inlineStr">
        <is>
          <t>MODERATE</t>
        </is>
      </c>
      <c r="D44" s="8" t="inlineStr">
        <is>
          <t>Safety stock of 2 units; alt vendor qual in parallel (Shimadzu)</t>
        </is>
      </c>
      <c r="E44" s="46" t="inlineStr">
        <is>
          <t>LOW-MODERATE</t>
        </is>
      </c>
    </row>
    <row r="45">
      <c r="A45" s="8" t="inlineStr">
        <is>
          <t>EQ-007 hazmat permit lead time exceeds program schedule</t>
        </is>
      </c>
      <c r="B45" s="8" t="inlineStr">
        <is>
          <t>Gas system install delayed 2+ wks — blocks furnace PQ</t>
        </is>
      </c>
      <c r="C45" s="46" t="inlineStr">
        <is>
          <t>MODERATE</t>
        </is>
      </c>
      <c r="D45" s="8" t="inlineStr">
        <is>
          <t>Expedited permit via regulatory consultant; contingency bottle gas supply</t>
        </is>
      </c>
      <c r="E45" s="40" t="inlineStr">
        <is>
          <t>LOW</t>
        </is>
      </c>
    </row>
    <row r="46">
      <c r="A46" s="8" t="inlineStr">
        <is>
          <t>JPY/EUR FX adverse movement (&gt;5%)</t>
        </is>
      </c>
      <c r="B46" s="8" t="inlineStr">
        <is>
          <t>Up to $285K budget overrun on EUR/JPY equipment</t>
        </is>
      </c>
      <c r="C46" s="40" t="inlineStr">
        <is>
          <t>LOW</t>
        </is>
      </c>
      <c r="D46" s="8" t="inlineStr">
        <is>
          <t>Forward FX contracts executed; FX reserve in AR</t>
        </is>
      </c>
      <c r="E46" s="40" t="inlineStr">
        <is>
          <t>LOW</t>
        </is>
      </c>
    </row>
    <row r="47">
      <c r="A47" s="8" t="inlineStr">
        <is>
          <t>EQ-004 structural floor reinforcement scope growth</t>
        </is>
      </c>
      <c r="B47" s="8" t="inlineStr">
        <is>
          <t>Additional $30-50K if reinforcement scope expands</t>
        </is>
      </c>
      <c r="C47" s="40" t="inlineStr">
        <is>
          <t>LOW</t>
        </is>
      </c>
      <c r="D47" s="8" t="inlineStr">
        <is>
          <t>Structural engineer engaged; early assessment complete</t>
        </is>
      </c>
      <c r="E47" s="40" t="inlineStr">
        <is>
          <t>VERY LOW</t>
        </is>
      </c>
    </row>
    <row r="48">
      <c r="A48" s="8" t="inlineStr">
        <is>
          <t>Customer demand shortfall vs forecast</t>
        </is>
      </c>
      <c r="B48" s="8" t="inlineStr">
        <is>
          <t>Reduced ROI; excess capacity created</t>
        </is>
      </c>
      <c r="C48" s="40" t="inlineStr">
        <is>
          <t>LOW</t>
        </is>
      </c>
      <c r="D48" s="8" t="inlineStr">
        <is>
          <t>Program phased — Phase III expansion deferred if demand misses</t>
        </is>
      </c>
      <c r="E48" s="40" t="inlineStr">
        <is>
          <t>LOW</t>
        </is>
      </c>
    </row>
    <row r="50" ht="18" customHeight="1">
      <c r="A50" s="83" t="inlineStr">
        <is>
          <t>EXECUTIVE RECOMMENDATION</t>
        </is>
      </c>
    </row>
    <row r="51">
      <c r="A51" s="90" t="inlineStr">
        <is>
          <t>RECOMMENDATION: APPROVE — Scenario B Baseline Program ($40.04M total budget)</t>
        </is>
      </c>
    </row>
    <row r="52" ht="30" customHeight="1">
      <c r="A52" s="38" t="inlineStr">
        <is>
          <t>The investment delivers a 14.2% IRR against an 8.0% hurdle rate, a 4.2-year payback, and $9.5M NPV over 10 years vs the minimum-CapEx alternative. Revenue enabled of $45.2M/yr supports the committed customer volume increase of 35% from 2025-Q4. All financial metrics exceed approval thresholds.</t>
        </is>
      </c>
    </row>
  </sheetData>
  <mergeCells count="12">
    <mergeCell ref="A12:H12"/>
    <mergeCell ref="A50:H50"/>
    <mergeCell ref="A31:D31"/>
    <mergeCell ref="A29:H29"/>
    <mergeCell ref="A4:D4"/>
    <mergeCell ref="A2:H2"/>
    <mergeCell ref="A42:E42"/>
    <mergeCell ref="A51:H51"/>
    <mergeCell ref="A52:H52"/>
    <mergeCell ref="A13:H13"/>
    <mergeCell ref="A15:G15"/>
    <mergeCell ref="A1:H1"/>
  </mergeCells>
  <pageMargins left="0.75" right="0.75" top="1" bottom="1" header="0.5" footer="0.5"/>
</worksheet>
</file>

<file path=xl/worksheets/sheet17.xml><?xml version="1.0" encoding="utf-8"?>
<worksheet xmlns="http://schemas.openxmlformats.org/spreadsheetml/2006/main">
  <sheetPr>
    <tabColor rgb="00E67E22"/>
    <outlinePr summaryBelow="1" summaryRight="1"/>
    <pageSetUpPr/>
  </sheetPr>
  <dimension ref="A1:I58"/>
  <sheetViews>
    <sheetView workbookViewId="0">
      <selection activeCell="A1" sqref="A1"/>
    </sheetView>
  </sheetViews>
  <sheetFormatPr baseColWidth="8" defaultRowHeight="15"/>
  <cols>
    <col width="34" customWidth="1" min="1" max="1"/>
    <col width="8" customWidth="1" min="2" max="2"/>
    <col width="16" customWidth="1" min="3" max="3"/>
    <col width="16" customWidth="1" min="4" max="4"/>
    <col width="16" customWidth="1" min="5" max="5"/>
    <col width="15" customWidth="1" min="6" max="6"/>
    <col width="15" customWidth="1" min="7" max="7"/>
    <col width="13" customWidth="1" min="8" max="8"/>
    <col width="55" customWidth="1" min="9" max="9"/>
  </cols>
  <sheetData>
    <row r="1" ht="26" customHeight="1">
      <c r="A1" s="82" t="inlineStr">
        <is>
          <t>S13 — Scenario Analysis — CapEx Program Investment Decision Framework</t>
        </is>
      </c>
    </row>
    <row r="2" ht="15" customHeight="1">
      <c r="A2" s="2" t="inlineStr">
        <is>
          <t>Compares three capital investment scenarios across NPV, TCO, capacity, supply chain risk, and schedule | Scenario A = Minimum CapEx (Low Upfront / Higher OpEx) | Scenario B = Baseline Program (Balanced) | Scenario C = Premium Build (High CapEx / Lowest OpEx)</t>
        </is>
      </c>
    </row>
    <row r="4" ht="18" customHeight="1">
      <c r="A4" s="83" t="inlineStr">
        <is>
          <t>CAPITAL EXPENDITURE (CAPEX)</t>
        </is>
      </c>
    </row>
    <row r="5" ht="30" customHeight="1">
      <c r="A5" s="84" t="inlineStr">
        <is>
          <t>Parameter</t>
        </is>
      </c>
      <c r="B5" s="84" t="inlineStr">
        <is>
          <t>Units</t>
        </is>
      </c>
      <c r="C5" s="84" t="inlineStr">
        <is>
          <t>Scenario A</t>
        </is>
      </c>
      <c r="D5" s="84" t="inlineStr">
        <is>
          <t>Scenario B</t>
        </is>
      </c>
      <c r="E5" s="84" t="inlineStr">
        <is>
          <t>Scenario C</t>
        </is>
      </c>
      <c r="F5" s="84" t="inlineStr">
        <is>
          <t>B vs A Delta</t>
        </is>
      </c>
      <c r="G5" s="84" t="inlineStr">
        <is>
          <t>C vs B Delta</t>
        </is>
      </c>
      <c r="H5" s="84" t="inlineStr">
        <is>
          <t>Best Scenario</t>
        </is>
      </c>
      <c r="I5" s="84" t="inlineStr">
        <is>
          <t>Notes</t>
        </is>
      </c>
    </row>
    <row r="6">
      <c r="A6" s="6" t="inlineStr">
        <is>
          <t>Total Equipment Purchase Cost</t>
        </is>
      </c>
      <c r="B6" s="6" t="inlineStr">
        <is>
          <t>$</t>
        </is>
      </c>
      <c r="C6" s="48" t="n">
        <v>24500000</v>
      </c>
      <c r="D6" s="48" t="n">
        <v>32800000</v>
      </c>
      <c r="E6" s="48" t="n">
        <v>38500000</v>
      </c>
      <c r="F6" s="31">
        <f>D6-C6</f>
        <v/>
      </c>
      <c r="G6" s="31">
        <f>E6-D6</f>
        <v/>
      </c>
      <c r="H6" s="6" t="inlineStr">
        <is>
          <t>Scenario B</t>
        </is>
      </c>
      <c r="I6" s="8" t="inlineStr">
        <is>
          <t>Scenario A uses domestic/value suppliers; C uses premium OEM across all platforms</t>
        </is>
      </c>
    </row>
    <row r="7">
      <c r="A7" s="6" t="inlineStr">
        <is>
          <t>Total Installation Cost</t>
        </is>
      </c>
      <c r="B7" s="6" t="inlineStr">
        <is>
          <t>$</t>
        </is>
      </c>
      <c r="C7" s="48" t="n">
        <v>2800000</v>
      </c>
      <c r="D7" s="48" t="n">
        <v>3600000</v>
      </c>
      <c r="E7" s="48" t="n">
        <v>4200000</v>
      </c>
      <c r="F7" s="31">
        <f>D7-C7</f>
        <v/>
      </c>
      <c r="G7" s="31">
        <f>E7-D7</f>
        <v/>
      </c>
      <c r="H7" s="6" t="inlineStr">
        <is>
          <t>Scenario A</t>
        </is>
      </c>
      <c r="I7" s="8" t="inlineStr">
        <is>
          <t>Installation costs scale with equipment complexity and supplier requirements</t>
        </is>
      </c>
    </row>
    <row r="8">
      <c r="A8" s="6" t="inlineStr">
        <is>
          <t>Total CapEx (Equipment + Install)</t>
        </is>
      </c>
      <c r="B8" s="6" t="inlineStr">
        <is>
          <t>$</t>
        </is>
      </c>
      <c r="C8" s="48" t="n">
        <v>27300000</v>
      </c>
      <c r="D8" s="48" t="n">
        <v>36400000</v>
      </c>
      <c r="E8" s="48" t="n">
        <v>42700000</v>
      </c>
      <c r="F8" s="31">
        <f>D8-C8</f>
        <v/>
      </c>
      <c r="G8" s="31">
        <f>E8-D8</f>
        <v/>
      </c>
      <c r="H8" s="6" t="inlineStr">
        <is>
          <t>Scenario A</t>
        </is>
      </c>
      <c r="I8" s="8" t="inlineStr">
        <is>
          <t>Formula: Purchase + Install; Scenario A ~33% lower CapEx than C</t>
        </is>
      </c>
    </row>
    <row r="9">
      <c r="A9" s="6" t="inlineStr">
        <is>
          <t>Contingency Reserve (10% of CapEx)</t>
        </is>
      </c>
      <c r="B9" s="6" t="inlineStr">
        <is>
          <t>$</t>
        </is>
      </c>
      <c r="C9" s="48" t="n">
        <v>2730000</v>
      </c>
      <c r="D9" s="48" t="n">
        <v>3640000</v>
      </c>
      <c r="E9" s="48" t="n">
        <v>4270000</v>
      </c>
      <c r="F9" s="31">
        <f>D9-C9</f>
        <v/>
      </c>
      <c r="G9" s="31">
        <f>E9-D9</f>
        <v/>
      </c>
      <c r="H9" s="6" t="inlineStr">
        <is>
          <t>Scenario A</t>
        </is>
      </c>
      <c r="I9" s="8" t="inlineStr">
        <is>
          <t>Standard 10% contingency; Scenario C highest absolute contingency</t>
        </is>
      </c>
    </row>
    <row r="10">
      <c r="A10" s="6" t="inlineStr">
        <is>
          <t>Total Program Budget (incl. contingency)</t>
        </is>
      </c>
      <c r="B10" s="6" t="inlineStr">
        <is>
          <t>$</t>
        </is>
      </c>
      <c r="C10" s="48" t="n">
        <v>30030000</v>
      </c>
      <c r="D10" s="48" t="n">
        <v>40040000</v>
      </c>
      <c r="E10" s="48" t="n">
        <v>46970000</v>
      </c>
      <c r="F10" s="31">
        <f>D10-C10</f>
        <v/>
      </c>
      <c r="G10" s="31">
        <f>E10-D10</f>
        <v/>
      </c>
      <c r="H10" s="6" t="inlineStr">
        <is>
          <t>Scenario A</t>
        </is>
      </c>
      <c r="I10" s="8" t="inlineStr">
        <is>
          <t>Total appropriations request basis for each scenario</t>
        </is>
      </c>
    </row>
    <row r="12" ht="18" customHeight="1">
      <c r="A12" s="83" t="inlineStr">
        <is>
          <t>OPERATING EXPENDITURE (OPEX — ANNUAL)</t>
        </is>
      </c>
    </row>
    <row r="13" ht="30" customHeight="1">
      <c r="A13" s="84" t="inlineStr">
        <is>
          <t>Parameter</t>
        </is>
      </c>
      <c r="B13" s="84" t="inlineStr">
        <is>
          <t>Units</t>
        </is>
      </c>
      <c r="C13" s="84" t="inlineStr">
        <is>
          <t>Scenario A</t>
        </is>
      </c>
      <c r="D13" s="84" t="inlineStr">
        <is>
          <t>Scenario B</t>
        </is>
      </c>
      <c r="E13" s="84" t="inlineStr">
        <is>
          <t>Scenario C</t>
        </is>
      </c>
      <c r="F13" s="84" t="inlineStr">
        <is>
          <t>B vs A Delta</t>
        </is>
      </c>
      <c r="G13" s="84" t="inlineStr">
        <is>
          <t>C vs B Delta</t>
        </is>
      </c>
      <c r="H13" s="84" t="inlineStr">
        <is>
          <t>Best Scenario</t>
        </is>
      </c>
      <c r="I13" s="84" t="inlineStr">
        <is>
          <t>Notes</t>
        </is>
      </c>
    </row>
    <row r="14">
      <c r="A14" s="6" t="inlineStr">
        <is>
          <t>Annual Energy Cost (all equipment)</t>
        </is>
      </c>
      <c r="B14" s="6" t="inlineStr">
        <is>
          <t>$/yr</t>
        </is>
      </c>
      <c r="C14" s="48" t="n">
        <v>1850000</v>
      </c>
      <c r="D14" s="48" t="n">
        <v>1620000</v>
      </c>
      <c r="E14" s="48" t="n">
        <v>1380000</v>
      </c>
      <c r="F14" s="31">
        <f>D14-C14</f>
        <v/>
      </c>
      <c r="G14" s="31">
        <f>E14-D14</f>
        <v/>
      </c>
      <c r="H14" s="6" t="inlineStr">
        <is>
          <t>Scenario C</t>
        </is>
      </c>
      <c r="I14" s="8" t="inlineStr">
        <is>
          <t>Scenario A older/less efficient equipment; Scenario C latest-gen low-energy platforms</t>
        </is>
      </c>
    </row>
    <row r="15">
      <c r="A15" s="6" t="inlineStr">
        <is>
          <t>Annual Maintenance Cost</t>
        </is>
      </c>
      <c r="B15" s="6" t="inlineStr">
        <is>
          <t>$/yr</t>
        </is>
      </c>
      <c r="C15" s="48" t="n">
        <v>1960000</v>
      </c>
      <c r="D15" s="48" t="n">
        <v>1475000</v>
      </c>
      <c r="E15" s="48" t="n">
        <v>1225000</v>
      </c>
      <c r="F15" s="31">
        <f>D15-C15</f>
        <v/>
      </c>
      <c r="G15" s="31">
        <f>E15-D15</f>
        <v/>
      </c>
      <c r="H15" s="6" t="inlineStr">
        <is>
          <t>Scenario C</t>
        </is>
      </c>
      <c r="I15" s="8" t="inlineStr">
        <is>
          <t>Scenario A value-tier has higher failure rate and maint burden</t>
        </is>
      </c>
    </row>
    <row r="16">
      <c r="A16" s="6" t="inlineStr">
        <is>
          <t>Annual Spare Parts Cost</t>
        </is>
      </c>
      <c r="B16" s="6" t="inlineStr">
        <is>
          <t>$/yr</t>
        </is>
      </c>
      <c r="C16" s="48" t="n">
        <v>520000</v>
      </c>
      <c r="D16" s="48" t="n">
        <v>385000</v>
      </c>
      <c r="E16" s="48" t="n">
        <v>295000</v>
      </c>
      <c r="F16" s="31">
        <f>D16-C16</f>
        <v/>
      </c>
      <c r="G16" s="31">
        <f>E16-D16</f>
        <v/>
      </c>
      <c r="H16" s="6" t="inlineStr">
        <is>
          <t>Scenario C</t>
        </is>
      </c>
      <c r="I16" s="8" t="inlineStr">
        <is>
          <t>Premium OEM (Scenario C) has longer MTBF; fewer spare parts events</t>
        </is>
      </c>
    </row>
    <row r="17">
      <c r="A17" s="6" t="inlineStr">
        <is>
          <t>Annual Downtime Cost (MTBF/MTTR model)</t>
        </is>
      </c>
      <c r="B17" s="6" t="inlineStr">
        <is>
          <t>$/yr</t>
        </is>
      </c>
      <c r="C17" s="48" t="n">
        <v>1260000</v>
      </c>
      <c r="D17" s="48" t="n">
        <v>720000</v>
      </c>
      <c r="E17" s="48" t="n">
        <v>396000</v>
      </c>
      <c r="F17" s="31">
        <f>D17-C17</f>
        <v/>
      </c>
      <c r="G17" s="31">
        <f>E17-D17</f>
        <v/>
      </c>
      <c r="H17" s="6" t="inlineStr">
        <is>
          <t>Scenario C</t>
        </is>
      </c>
      <c r="I17" s="8" t="inlineStr">
        <is>
          <t>MTBF-based: Sc A avg MTBF 2,400hr; Sc B 3,500hr; Sc C 5,200hr</t>
        </is>
      </c>
    </row>
    <row r="18">
      <c r="A18" s="6" t="inlineStr">
        <is>
          <t>Total Annual OpEx</t>
        </is>
      </c>
      <c r="B18" s="6" t="inlineStr">
        <is>
          <t>$/yr</t>
        </is>
      </c>
      <c r="C18" s="48" t="n">
        <v>5590000</v>
      </c>
      <c r="D18" s="48" t="n">
        <v>4200000</v>
      </c>
      <c r="E18" s="48" t="n">
        <v>3296000</v>
      </c>
      <c r="F18" s="31">
        <f>D18-C18</f>
        <v/>
      </c>
      <c r="G18" s="31">
        <f>E18-D18</f>
        <v/>
      </c>
      <c r="H18" s="6" t="inlineStr">
        <is>
          <t>Scenario C</t>
        </is>
      </c>
      <c r="I18" s="8" t="inlineStr">
        <is>
          <t>Formula: Sum of above OpEx lines; C saves $2.3M/yr vs A</t>
        </is>
      </c>
    </row>
    <row r="20" ht="18" customHeight="1">
      <c r="A20" s="83" t="inlineStr">
        <is>
          <t>FINANCIAL MODEL (10-YEAR HORIZON)</t>
        </is>
      </c>
    </row>
    <row r="21" ht="30" customHeight="1">
      <c r="A21" s="84" t="inlineStr">
        <is>
          <t>Parameter</t>
        </is>
      </c>
      <c r="B21" s="84" t="inlineStr">
        <is>
          <t>Units</t>
        </is>
      </c>
      <c r="C21" s="84" t="inlineStr">
        <is>
          <t>Scenario A</t>
        </is>
      </c>
      <c r="D21" s="84" t="inlineStr">
        <is>
          <t>Scenario B</t>
        </is>
      </c>
      <c r="E21" s="84" t="inlineStr">
        <is>
          <t>Scenario C</t>
        </is>
      </c>
      <c r="F21" s="84" t="inlineStr">
        <is>
          <t>B vs A Delta</t>
        </is>
      </c>
      <c r="G21" s="84" t="inlineStr">
        <is>
          <t>C vs B Delta</t>
        </is>
      </c>
      <c r="H21" s="84" t="inlineStr">
        <is>
          <t>Best Scenario</t>
        </is>
      </c>
      <c r="I21" s="84" t="inlineStr">
        <is>
          <t>Notes</t>
        </is>
      </c>
    </row>
    <row r="22">
      <c r="A22" s="6" t="inlineStr">
        <is>
          <t>10-Year Cumulative OpEx</t>
        </is>
      </c>
      <c r="B22" s="6" t="inlineStr">
        <is>
          <t>$</t>
        </is>
      </c>
      <c r="C22" s="48" t="n">
        <v>55900000</v>
      </c>
      <c r="D22" s="48" t="n">
        <v>42000000</v>
      </c>
      <c r="E22" s="48" t="n">
        <v>32960000</v>
      </c>
      <c r="F22" s="31">
        <f>D22-C22</f>
        <v/>
      </c>
      <c r="G22" s="31">
        <f>E22-D22</f>
        <v/>
      </c>
      <c r="H22" s="6" t="inlineStr">
        <is>
          <t>Scenario C</t>
        </is>
      </c>
      <c r="I22" s="8" t="inlineStr">
        <is>
          <t>Escalated at 2.5%/yr inflation; C significantly lower over 10-yr horizon</t>
        </is>
      </c>
    </row>
    <row r="23">
      <c r="A23" s="6" t="inlineStr">
        <is>
          <t>NPV of OpEx Savings vs Scenario A</t>
        </is>
      </c>
      <c r="B23" s="6" t="inlineStr">
        <is>
          <t>$</t>
        </is>
      </c>
      <c r="C23" s="48" t="n">
        <v>0</v>
      </c>
      <c r="D23" s="48" t="n">
        <v>9520000</v>
      </c>
      <c r="E23" s="48" t="n">
        <v>14630000</v>
      </c>
      <c r="F23" s="31">
        <f>D23-C23</f>
        <v/>
      </c>
      <c r="G23" s="31">
        <f>E23-D23</f>
        <v/>
      </c>
      <c r="H23" s="6" t="inlineStr">
        <is>
          <t>Scenario C</t>
        </is>
      </c>
      <c r="I23" s="8" t="inlineStr">
        <is>
          <t>NPV at 8% discount rate; Scenario C generates $14.6M NPV savings vs A</t>
        </is>
      </c>
    </row>
    <row r="24">
      <c r="A24" s="6" t="inlineStr">
        <is>
          <t>Estimated IRR</t>
        </is>
      </c>
      <c r="B24" s="6" t="inlineStr">
        <is>
          <t>%</t>
        </is>
      </c>
      <c r="C24" s="43" t="inlineStr">
        <is>
          <t>N/A</t>
        </is>
      </c>
      <c r="D24" s="47" t="n">
        <v>0.142</v>
      </c>
      <c r="E24" s="47" t="n">
        <v>0.187</v>
      </c>
      <c r="F24" s="6" t="inlineStr">
        <is>
          <t>N/A</t>
        </is>
      </c>
      <c r="G24" s="32">
        <f>E24-D24</f>
        <v/>
      </c>
      <c r="H24" s="6" t="inlineStr">
        <is>
          <t>Scenario C</t>
        </is>
      </c>
      <c r="I24" s="8" t="inlineStr">
        <is>
          <t>IRR on incremental investment relative to Scenario A baseline</t>
        </is>
      </c>
    </row>
    <row r="25">
      <c r="A25" s="6" t="inlineStr">
        <is>
          <t>Simple Payback vs Scenario A (yrs)</t>
        </is>
      </c>
      <c r="B25" s="6" t="inlineStr">
        <is>
          <t>yrs</t>
        </is>
      </c>
      <c r="C25" s="43" t="inlineStr">
        <is>
          <t>N/A</t>
        </is>
      </c>
      <c r="D25" s="65" t="n">
        <v>4</v>
      </c>
      <c r="E25" s="65" t="n">
        <v>4</v>
      </c>
      <c r="F25" s="6" t="inlineStr">
        <is>
          <t>N/A</t>
        </is>
      </c>
      <c r="G25" s="66">
        <f>E25-D25</f>
        <v/>
      </c>
      <c r="H25" s="6" t="inlineStr">
        <is>
          <t>Scenario C</t>
        </is>
      </c>
      <c r="I25" s="8" t="inlineStr">
        <is>
          <t>Payback of incremental CapEx premium through OpEx savings</t>
        </is>
      </c>
    </row>
    <row r="27" ht="18" customHeight="1">
      <c r="A27" s="83" t="inlineStr">
        <is>
          <t>CAPACITY &amp; PERFORMANCE</t>
        </is>
      </c>
    </row>
    <row r="28" ht="30" customHeight="1">
      <c r="A28" s="84" t="inlineStr">
        <is>
          <t>Parameter</t>
        </is>
      </c>
      <c r="B28" s="84" t="inlineStr">
        <is>
          <t>Units</t>
        </is>
      </c>
      <c r="C28" s="84" t="inlineStr">
        <is>
          <t>Scenario A</t>
        </is>
      </c>
      <c r="D28" s="84" t="inlineStr">
        <is>
          <t>Scenario B</t>
        </is>
      </c>
      <c r="E28" s="84" t="inlineStr">
        <is>
          <t>Scenario C</t>
        </is>
      </c>
      <c r="F28" s="84" t="inlineStr">
        <is>
          <t>B vs A Delta</t>
        </is>
      </c>
      <c r="G28" s="84" t="inlineStr">
        <is>
          <t>C vs B Delta</t>
        </is>
      </c>
      <c r="H28" s="84" t="inlineStr">
        <is>
          <t>Best Scenario</t>
        </is>
      </c>
      <c r="I28" s="84" t="inlineStr">
        <is>
          <t>Notes</t>
        </is>
      </c>
    </row>
    <row r="29">
      <c r="A29" s="6" t="inlineStr">
        <is>
          <t>Annual Production Capacity (units/yr)</t>
        </is>
      </c>
      <c r="B29" s="6" t="inlineStr">
        <is>
          <t>units</t>
        </is>
      </c>
      <c r="C29" s="65" t="n">
        <v>228000</v>
      </c>
      <c r="D29" s="65" t="n">
        <v>312000</v>
      </c>
      <c r="E29" s="65" t="n">
        <v>368000</v>
      </c>
      <c r="F29" s="66">
        <f>D29-C29</f>
        <v/>
      </c>
      <c r="G29" s="66">
        <f>E29-D29</f>
        <v/>
      </c>
      <c r="H29" s="6" t="inlineStr">
        <is>
          <t>Scenario C</t>
        </is>
      </c>
      <c r="I29" s="8" t="inlineStr">
        <is>
          <t>Scenario C premium equipment delivers highest throughput and uptime</t>
        </is>
      </c>
    </row>
    <row r="30">
      <c r="A30" s="6" t="inlineStr">
        <is>
          <t>Equipment Uptime (%)</t>
        </is>
      </c>
      <c r="B30" s="6" t="inlineStr">
        <is>
          <t>%</t>
        </is>
      </c>
      <c r="C30" s="47" t="n">
        <v>0.88</v>
      </c>
      <c r="D30" s="47" t="n">
        <v>0.92</v>
      </c>
      <c r="E30" s="47" t="n">
        <v>0.955</v>
      </c>
      <c r="F30" s="32">
        <f>D30-C30</f>
        <v/>
      </c>
      <c r="G30" s="32">
        <f>E30-D30</f>
        <v/>
      </c>
      <c r="H30" s="6" t="inlineStr">
        <is>
          <t>Scenario C</t>
        </is>
      </c>
      <c r="I30" s="8" t="inlineStr">
        <is>
          <t>Scenario A value-tier has higher unplanned downtime; C has best SLA terms</t>
        </is>
      </c>
    </row>
    <row r="31">
      <c r="A31" s="6" t="inlineStr">
        <is>
          <t>Process Yield (%)</t>
        </is>
      </c>
      <c r="B31" s="6" t="inlineStr">
        <is>
          <t>%</t>
        </is>
      </c>
      <c r="C31" s="47" t="n">
        <v>0.9350000000000001</v>
      </c>
      <c r="D31" s="47" t="n">
        <v>0.96</v>
      </c>
      <c r="E31" s="47" t="n">
        <v>0.975</v>
      </c>
      <c r="F31" s="32">
        <f>D31-C31</f>
        <v/>
      </c>
      <c r="G31" s="32">
        <f>E31-D31</f>
        <v/>
      </c>
      <c r="H31" s="6" t="inlineStr">
        <is>
          <t>Scenario C</t>
        </is>
      </c>
      <c r="I31" s="8" t="inlineStr">
        <is>
          <t>Process yield linked to equipment precision and repeatability spec</t>
        </is>
      </c>
    </row>
    <row r="33" ht="18" customHeight="1">
      <c r="A33" s="83" t="inlineStr">
        <is>
          <t>SUPPLY CHAIN RISK</t>
        </is>
      </c>
    </row>
    <row r="34" ht="30" customHeight="1">
      <c r="A34" s="84" t="inlineStr">
        <is>
          <t>Parameter</t>
        </is>
      </c>
      <c r="B34" s="84" t="inlineStr">
        <is>
          <t>Units</t>
        </is>
      </c>
      <c r="C34" s="84" t="inlineStr">
        <is>
          <t>Scenario A</t>
        </is>
      </c>
      <c r="D34" s="84" t="inlineStr">
        <is>
          <t>Scenario B</t>
        </is>
      </c>
      <c r="E34" s="84" t="inlineStr">
        <is>
          <t>Scenario C</t>
        </is>
      </c>
      <c r="F34" s="84" t="inlineStr">
        <is>
          <t>B vs A Delta</t>
        </is>
      </c>
      <c r="G34" s="84" t="inlineStr">
        <is>
          <t>C vs B Delta</t>
        </is>
      </c>
      <c r="H34" s="84" t="inlineStr">
        <is>
          <t>Best Scenario</t>
        </is>
      </c>
      <c r="I34" s="84" t="inlineStr">
        <is>
          <t>Notes</t>
        </is>
      </c>
    </row>
    <row r="35">
      <c r="A35" s="6" t="inlineStr">
        <is>
          <t>Single-Source Components</t>
        </is>
      </c>
      <c r="B35" s="6" t="inlineStr">
        <is>
          <t>count</t>
        </is>
      </c>
      <c r="C35" s="65" t="n">
        <v>8</v>
      </c>
      <c r="D35" s="65" t="n">
        <v>5</v>
      </c>
      <c r="E35" s="65" t="n">
        <v>3</v>
      </c>
      <c r="F35" s="66">
        <f>D35-C35</f>
        <v/>
      </c>
      <c r="G35" s="66">
        <f>E35-D35</f>
        <v/>
      </c>
      <c r="H35" s="6" t="inlineStr">
        <is>
          <t>Scenario C</t>
        </is>
      </c>
      <c r="I35" s="8" t="inlineStr">
        <is>
          <t>Scenario A relies on more sole-source suppliers due to cost-driven selection</t>
        </is>
      </c>
    </row>
    <row r="36">
      <c r="A36" s="6" t="inlineStr">
        <is>
          <t>Avg Supplier Lead Time (wks)</t>
        </is>
      </c>
      <c r="B36" s="6" t="inlineStr">
        <is>
          <t>wks</t>
        </is>
      </c>
      <c r="C36" s="91" t="n">
        <v>23.4</v>
      </c>
      <c r="D36" s="91" t="n">
        <v>19.8</v>
      </c>
      <c r="E36" s="91" t="n">
        <v>17.2</v>
      </c>
      <c r="F36" s="33">
        <f>D36-C36</f>
        <v/>
      </c>
      <c r="G36" s="33">
        <f>E36-D36</f>
        <v/>
      </c>
      <c r="H36" s="6" t="inlineStr">
        <is>
          <t>Scenario C</t>
        </is>
      </c>
      <c r="I36" s="8" t="inlineStr">
        <is>
          <t>Premium suppliers (Scenario C) have better supply chain infrastructure</t>
        </is>
      </c>
    </row>
    <row r="37">
      <c r="A37" s="6" t="inlineStr">
        <is>
          <t>Supply Chain Risk Index (composite)</t>
        </is>
      </c>
      <c r="B37" s="6" t="inlineStr">
        <is>
          <t>score</t>
        </is>
      </c>
      <c r="C37" s="91" t="n">
        <v>38.5</v>
      </c>
      <c r="D37" s="91" t="n">
        <v>24.2</v>
      </c>
      <c r="E37" s="91" t="n">
        <v>16.8</v>
      </c>
      <c r="F37" s="33">
        <f>D37-C37</f>
        <v/>
      </c>
      <c r="G37" s="33">
        <f>E37-D37</f>
        <v/>
      </c>
      <c r="H37" s="6" t="inlineStr">
        <is>
          <t>Scenario C</t>
        </is>
      </c>
      <c r="I37" s="8" t="inlineStr">
        <is>
          <t>Composite index; lower = lower risk</t>
        </is>
      </c>
    </row>
    <row r="39" ht="18" customHeight="1">
      <c r="A39" s="83" t="inlineStr">
        <is>
          <t>SCHEDULE &amp; DEPLOYMENT</t>
        </is>
      </c>
    </row>
    <row r="40" ht="30" customHeight="1">
      <c r="A40" s="84" t="inlineStr">
        <is>
          <t>Parameter</t>
        </is>
      </c>
      <c r="B40" s="84" t="inlineStr">
        <is>
          <t>Units</t>
        </is>
      </c>
      <c r="C40" s="84" t="inlineStr">
        <is>
          <t>Scenario A</t>
        </is>
      </c>
      <c r="D40" s="84" t="inlineStr">
        <is>
          <t>Scenario B</t>
        </is>
      </c>
      <c r="E40" s="84" t="inlineStr">
        <is>
          <t>Scenario C</t>
        </is>
      </c>
      <c r="F40" s="84" t="inlineStr">
        <is>
          <t>B vs A Delta</t>
        </is>
      </c>
      <c r="G40" s="84" t="inlineStr">
        <is>
          <t>C vs B Delta</t>
        </is>
      </c>
      <c r="H40" s="84" t="inlineStr">
        <is>
          <t>Best Scenario</t>
        </is>
      </c>
      <c r="I40" s="84" t="inlineStr">
        <is>
          <t>Notes</t>
        </is>
      </c>
    </row>
    <row r="41">
      <c r="A41" s="6" t="inlineStr">
        <is>
          <t>Critical Path Duration (weeks)</t>
        </is>
      </c>
      <c r="B41" s="6" t="inlineStr">
        <is>
          <t>wks</t>
        </is>
      </c>
      <c r="C41" s="65" t="n">
        <v>46</v>
      </c>
      <c r="D41" s="65" t="n">
        <v>42</v>
      </c>
      <c r="E41" s="65" t="n">
        <v>38</v>
      </c>
      <c r="F41" s="66">
        <f>D41-C41</f>
        <v/>
      </c>
      <c r="G41" s="66">
        <f>E41-D41</f>
        <v/>
      </c>
      <c r="H41" s="6" t="inlineStr">
        <is>
          <t>Scenario C</t>
        </is>
      </c>
      <c r="I41" s="8" t="inlineStr">
        <is>
          <t>Scenario C suppliers have shorter manufacturing lead times and dedicated PM support</t>
        </is>
      </c>
    </row>
    <row r="42">
      <c r="A42" s="6" t="inlineStr">
        <is>
          <t>Program End Date (Week # from start)</t>
        </is>
      </c>
      <c r="B42" s="6" t="inlineStr">
        <is>
          <t>wks</t>
        </is>
      </c>
      <c r="C42" s="65" t="n">
        <v>52</v>
      </c>
      <c r="D42" s="65" t="n">
        <v>47</v>
      </c>
      <c r="E42" s="65" t="n">
        <v>43</v>
      </c>
      <c r="F42" s="66">
        <f>D42-C42</f>
        <v/>
      </c>
      <c r="G42" s="66">
        <f>E42-D42</f>
        <v/>
      </c>
      <c r="H42" s="6" t="inlineStr">
        <is>
          <t>Scenario C</t>
        </is>
      </c>
      <c r="I42" s="8" t="inlineStr">
        <is>
          <t>Earlier qualification in Scenario C allows faster ramp to production revenue</t>
        </is>
      </c>
    </row>
    <row r="43">
      <c r="A43" s="6" t="inlineStr">
        <is>
          <t>Schedule Risk Items</t>
        </is>
      </c>
      <c r="B43" s="6" t="inlineStr">
        <is>
          <t>count</t>
        </is>
      </c>
      <c r="C43" s="65" t="n">
        <v>7</v>
      </c>
      <c r="D43" s="65" t="n">
        <v>5</v>
      </c>
      <c r="E43" s="65" t="n">
        <v>3</v>
      </c>
      <c r="F43" s="66">
        <f>D43-C43</f>
        <v/>
      </c>
      <c r="G43" s="66">
        <f>E43-D43</f>
        <v/>
      </c>
      <c r="H43" s="6" t="inlineStr">
        <is>
          <t>Scenario C</t>
        </is>
      </c>
      <c r="I43" s="8" t="inlineStr">
        <is>
          <t>Fewer risk items in Scenario C; better supplier program management</t>
        </is>
      </c>
    </row>
    <row r="45" ht="18" customHeight="1">
      <c r="A45" s="83" t="inlineStr">
        <is>
          <t>WEIGHTED DECISION SCORECARD &amp; PROGRAM RECOMMENDATION</t>
        </is>
      </c>
    </row>
    <row r="46" ht="30" customHeight="1">
      <c r="A46" s="84" t="inlineStr">
        <is>
          <t>Dimension</t>
        </is>
      </c>
      <c r="B46" s="84" t="inlineStr">
        <is>
          <t>Weight</t>
        </is>
      </c>
      <c r="C46" s="84" t="inlineStr">
        <is>
          <t>Score A (1-5)</t>
        </is>
      </c>
      <c r="D46" s="84" t="inlineStr">
        <is>
          <t>Score B (1-5)</t>
        </is>
      </c>
      <c r="E46" s="84" t="inlineStr">
        <is>
          <t>Score C (1-5)</t>
        </is>
      </c>
      <c r="F46" s="84" t="inlineStr">
        <is>
          <t>Wtd Score A</t>
        </is>
      </c>
      <c r="G46" s="84" t="inlineStr">
        <is>
          <t>Wtd Score B</t>
        </is>
      </c>
      <c r="H46" s="84" t="inlineStr">
        <is>
          <t>Wtd Score C</t>
        </is>
      </c>
      <c r="I46" s="84" t="inlineStr">
        <is>
          <t>Winner</t>
        </is>
      </c>
    </row>
    <row r="47">
      <c r="A47" s="6" t="inlineStr">
        <is>
          <t>Capital Cost (Lower = Better)</t>
        </is>
      </c>
      <c r="B47" s="47" t="n">
        <v>0.2</v>
      </c>
      <c r="C47" s="43" t="n">
        <v>5</v>
      </c>
      <c r="D47" s="43" t="n">
        <v>3</v>
      </c>
      <c r="E47" s="43" t="n">
        <v>2</v>
      </c>
      <c r="F47" s="33">
        <f>B47*C47</f>
        <v/>
      </c>
      <c r="G47" s="33">
        <f>B47*D47</f>
        <v/>
      </c>
      <c r="H47" s="33">
        <f>B47*E47</f>
        <v/>
      </c>
      <c r="I47" s="6" t="inlineStr">
        <is>
          <t>A</t>
        </is>
      </c>
    </row>
    <row r="48">
      <c r="A48" s="6" t="inlineStr">
        <is>
          <t>10-Yr Total Cost of Ownership</t>
        </is>
      </c>
      <c r="B48" s="47" t="n">
        <v>0.2</v>
      </c>
      <c r="C48" s="43" t="n">
        <v>2</v>
      </c>
      <c r="D48" s="43" t="n">
        <v>4</v>
      </c>
      <c r="E48" s="43" t="n">
        <v>5</v>
      </c>
      <c r="F48" s="33">
        <f>B48*C48</f>
        <v/>
      </c>
      <c r="G48" s="33">
        <f>B48*D48</f>
        <v/>
      </c>
      <c r="H48" s="33">
        <f>B48*E48</f>
        <v/>
      </c>
      <c r="I48" s="6" t="inlineStr">
        <is>
          <t>C</t>
        </is>
      </c>
    </row>
    <row r="49">
      <c r="A49" s="6" t="inlineStr">
        <is>
          <t>Financial Return (NPV/IRR)</t>
        </is>
      </c>
      <c r="B49" s="47" t="n">
        <v>0.15</v>
      </c>
      <c r="C49" s="43" t="n">
        <v>1</v>
      </c>
      <c r="D49" s="43" t="n">
        <v>4</v>
      </c>
      <c r="E49" s="43" t="n">
        <v>5</v>
      </c>
      <c r="F49" s="33">
        <f>B49*C49</f>
        <v/>
      </c>
      <c r="G49" s="33">
        <f>B49*D49</f>
        <v/>
      </c>
      <c r="H49" s="33">
        <f>B49*E49</f>
        <v/>
      </c>
      <c r="I49" s="6" t="inlineStr">
        <is>
          <t>C</t>
        </is>
      </c>
    </row>
    <row r="50">
      <c r="A50" s="6" t="inlineStr">
        <is>
          <t>Production Capacity</t>
        </is>
      </c>
      <c r="B50" s="47" t="n">
        <v>0.1</v>
      </c>
      <c r="C50" s="43" t="n">
        <v>2</v>
      </c>
      <c r="D50" s="43" t="n">
        <v>4</v>
      </c>
      <c r="E50" s="43" t="n">
        <v>5</v>
      </c>
      <c r="F50" s="33">
        <f>B50*C50</f>
        <v/>
      </c>
      <c r="G50" s="33">
        <f>B50*D50</f>
        <v/>
      </c>
      <c r="H50" s="33">
        <f>B50*E50</f>
        <v/>
      </c>
      <c r="I50" s="6" t="inlineStr">
        <is>
          <t>C</t>
        </is>
      </c>
    </row>
    <row r="51">
      <c r="A51" s="6" t="inlineStr">
        <is>
          <t>Supply Chain Risk</t>
        </is>
      </c>
      <c r="B51" s="47" t="n">
        <v>0.15</v>
      </c>
      <c r="C51" s="43" t="n">
        <v>2</v>
      </c>
      <c r="D51" s="43" t="n">
        <v>4</v>
      </c>
      <c r="E51" s="43" t="n">
        <v>5</v>
      </c>
      <c r="F51" s="33">
        <f>B51*C51</f>
        <v/>
      </c>
      <c r="G51" s="33">
        <f>B51*D51</f>
        <v/>
      </c>
      <c r="H51" s="33">
        <f>B51*E51</f>
        <v/>
      </c>
      <c r="I51" s="6" t="inlineStr">
        <is>
          <t>C</t>
        </is>
      </c>
    </row>
    <row r="52">
      <c r="A52" s="6" t="inlineStr">
        <is>
          <t>Schedule &amp; Deployment Risk</t>
        </is>
      </c>
      <c r="B52" s="47" t="n">
        <v>0.1</v>
      </c>
      <c r="C52" s="43" t="n">
        <v>2</v>
      </c>
      <c r="D52" s="43" t="n">
        <v>4</v>
      </c>
      <c r="E52" s="43" t="n">
        <v>5</v>
      </c>
      <c r="F52" s="33">
        <f>B52*C52</f>
        <v/>
      </c>
      <c r="G52" s="33">
        <f>B52*D52</f>
        <v/>
      </c>
      <c r="H52" s="33">
        <f>B52*E52</f>
        <v/>
      </c>
      <c r="I52" s="6" t="inlineStr">
        <is>
          <t>C</t>
        </is>
      </c>
    </row>
    <row r="53">
      <c r="A53" s="6" t="inlineStr">
        <is>
          <t>Operational Reliability / Uptime</t>
        </is>
      </c>
      <c r="B53" s="47" t="n">
        <v>0.1</v>
      </c>
      <c r="C53" s="43" t="n">
        <v>2</v>
      </c>
      <c r="D53" s="43" t="n">
        <v>4</v>
      </c>
      <c r="E53" s="43" t="n">
        <v>5</v>
      </c>
      <c r="F53" s="33">
        <f>B53*C53</f>
        <v/>
      </c>
      <c r="G53" s="33">
        <f>B53*D53</f>
        <v/>
      </c>
      <c r="H53" s="33">
        <f>B53*E53</f>
        <v/>
      </c>
      <c r="I53" s="6" t="inlineStr">
        <is>
          <t>C</t>
        </is>
      </c>
    </row>
    <row r="54">
      <c r="A54" s="85" t="inlineStr">
        <is>
          <t>TOTAL WEIGHTED SCORE</t>
        </is>
      </c>
      <c r="B54" s="87">
        <f>SUM(B47:B53)</f>
        <v/>
      </c>
      <c r="C54" s="19" t="n"/>
      <c r="D54" s="19" t="n"/>
      <c r="E54" s="19" t="n"/>
      <c r="F54" s="92">
        <f>SUM(F47:F53)</f>
        <v/>
      </c>
      <c r="G54" s="92">
        <f>SUM(G47:G53)</f>
        <v/>
      </c>
      <c r="H54" s="92">
        <f>SUM(H47:H53)</f>
        <v/>
      </c>
      <c r="I54" s="19" t="n"/>
    </row>
    <row r="56" ht="18" customHeight="1">
      <c r="A56" s="83" t="inlineStr">
        <is>
          <t>PROGRAM RECOMMENDATION</t>
        </is>
      </c>
    </row>
    <row r="57">
      <c r="A57" s="90" t="inlineStr">
        <is>
          <t>RECOMMENDED SCENARIO: SCENARIO B — Baseline Program (APPROVED)</t>
        </is>
      </c>
    </row>
    <row r="58" ht="60" customHeight="1">
      <c r="A58" s="38" t="inlineStr">
        <is>
          <t>Scenario B delivers 312,000 units/yr capacity, 14.2% IRR, and $9.5M NPV over 10 years vs Scenario A. While Scenario C scores marginally higher on the weighted scorecard, it was not selected because the $47M total budget exceeds the divisional CapEx approval ceiling for a single program phase. Scenario B provides the optimal balance of financial return, risk profile, and capital efficiency within approved limits. Total budget $40.04M is within the $42M divisional CapEx approval ceiling; 14.2% IRR exceeds the 8% hurdle rate with a 4.2-year payback; 312,000 units/yr capacity supports the committed 35% customer volume increase. AR-2025-0082 was submitted and approved on this basis.</t>
        </is>
      </c>
    </row>
  </sheetData>
  <mergeCells count="12">
    <mergeCell ref="A57:I57"/>
    <mergeCell ref="A2:I2"/>
    <mergeCell ref="A33:I33"/>
    <mergeCell ref="A1:I1"/>
    <mergeCell ref="A45:I45"/>
    <mergeCell ref="A56:I56"/>
    <mergeCell ref="A27:I27"/>
    <mergeCell ref="A58:I58"/>
    <mergeCell ref="A39:I39"/>
    <mergeCell ref="A12:I12"/>
    <mergeCell ref="A4:I4"/>
    <mergeCell ref="A20:I20"/>
  </mergeCells>
  <pageMargins left="0.75" right="0.75" top="1" bottom="1" header="0.5" footer="0.5"/>
</worksheet>
</file>

<file path=xl/worksheets/sheet18.xml><?xml version="1.0" encoding="utf-8"?>
<worksheet xmlns="http://schemas.openxmlformats.org/spreadsheetml/2006/main">
  <sheetPr>
    <tabColor rgb="00E67E22"/>
    <outlinePr summaryBelow="1" summaryRight="1"/>
    <pageSetUpPr/>
  </sheetPr>
  <dimension ref="A1:L29"/>
  <sheetViews>
    <sheetView workbookViewId="0">
      <pane ySplit="12" topLeftCell="A13" activePane="bottomLeft" state="frozen"/>
      <selection pane="bottomLeft" activeCell="A1" sqref="A1"/>
    </sheetView>
  </sheetViews>
  <sheetFormatPr baseColWidth="8" defaultRowHeight="15"/>
  <cols>
    <col width="5" customWidth="1" min="1" max="1"/>
    <col width="10" customWidth="1" min="2" max="2"/>
    <col width="16" customWidth="1" min="3" max="3"/>
    <col width="18" customWidth="1" min="4" max="4"/>
    <col width="18" customWidth="1" min="5" max="5"/>
    <col width="15" customWidth="1" min="6" max="6"/>
    <col width="15" customWidth="1" min="7" max="7"/>
    <col width="15" customWidth="1" min="8" max="8"/>
    <col width="11" customWidth="1" min="9" max="9"/>
    <col width="10" customWidth="1" min="10" max="10"/>
    <col width="30" customWidth="1" min="11" max="11"/>
    <col width="48" customWidth="1" min="12" max="12"/>
  </cols>
  <sheetData>
    <row r="1" ht="26" customHeight="1">
      <c r="A1" s="82" t="inlineStr">
        <is>
          <t>S14 — CapEx Cash Flow Model — Monthly Detail &amp; Quarterly Summary (2025 Program)</t>
        </is>
      </c>
    </row>
    <row r="2" ht="15" customHeight="1">
      <c r="A2" s="2" t="inlineStr">
        <is>
          <t>Program: Greenfield Expansion Phase II | Owner: Sourabh Tarodekar | Merged monthly/quarterly model — quarterly totals derived from monthly rows (SUMIF). Payment terms: 25% Deposit / 40% Milestone / 35% Delivery.</t>
        </is>
      </c>
    </row>
    <row r="4" ht="18" customHeight="1">
      <c r="A4" s="83" t="inlineStr">
        <is>
          <t>PAYMENT &amp; PROGRAM ASSUMPTIONS</t>
        </is>
      </c>
    </row>
    <row r="5">
      <c r="A5" s="6" t="inlineStr">
        <is>
          <t>Deposit % at PO Placement</t>
        </is>
      </c>
      <c r="B5" s="47" t="n">
        <v>0.25</v>
      </c>
    </row>
    <row r="6">
      <c r="A6" s="6" t="inlineStr">
        <is>
          <t>Manufacturing Milestone %</t>
        </is>
      </c>
      <c r="B6" s="47" t="n">
        <v>0.4</v>
      </c>
    </row>
    <row r="7">
      <c r="A7" s="6" t="inlineStr">
        <is>
          <t>Delivery Payment %</t>
        </is>
      </c>
      <c r="B7" s="47" t="n">
        <v>0.35</v>
      </c>
    </row>
    <row r="8">
      <c r="A8" s="6" t="inlineStr">
        <is>
          <t>Total AR Budget</t>
        </is>
      </c>
      <c r="B8" s="41">
        <f>'S12_AR_Summary'!F27</f>
        <v/>
      </c>
    </row>
    <row r="10" ht="18" customHeight="1">
      <c r="A10" s="83" t="inlineStr">
        <is>
          <t>MONTHLY SPEND PROFILE — Apr 2025 through Dec 2025</t>
        </is>
      </c>
    </row>
    <row r="11" ht="30" customHeight="1">
      <c r="A11" s="84" t="inlineStr">
        <is>
          <t>#</t>
        </is>
      </c>
      <c r="B11" s="84" t="inlineStr">
        <is>
          <t>Month</t>
        </is>
      </c>
      <c r="C11" s="84" t="inlineStr">
        <is>
          <t>Equip. Purchases (USD)</t>
        </is>
      </c>
      <c r="D11" s="84" t="inlineStr">
        <is>
          <t>Install &amp; Commissioning (USD)</t>
        </is>
      </c>
      <c r="E11" s="84" t="inlineStr">
        <is>
          <t>Facility Infra &amp; FX Reserve (USD)</t>
        </is>
      </c>
      <c r="F11" s="84" t="inlineStr">
        <is>
          <t>NRE/Engineering (USD)</t>
        </is>
      </c>
      <c r="G11" s="84" t="inlineStr">
        <is>
          <t>Total Period Spend (USD)</t>
        </is>
      </c>
      <c r="H11" s="84" t="inlineStr">
        <is>
          <t>Cumulative Spend (USD)</t>
        </is>
      </c>
      <c r="I11" s="84" t="inlineStr">
        <is>
          <t>% of AR Budget</t>
        </is>
      </c>
      <c r="J11" s="84" t="inlineStr">
        <is>
          <t>Quarter</t>
        </is>
      </c>
      <c r="K11" s="84" t="inlineStr">
        <is>
          <t>Planned Milestone</t>
        </is>
      </c>
      <c r="L11" s="84" t="inlineStr">
        <is>
          <t>Notes</t>
        </is>
      </c>
    </row>
    <row r="12">
      <c r="A12" s="6" t="n">
        <v>1</v>
      </c>
      <c r="B12" s="6" t="inlineStr">
        <is>
          <t>Apr-25</t>
        </is>
      </c>
      <c r="C12" s="48" t="n">
        <v>3312500</v>
      </c>
      <c r="D12" s="48" t="n">
        <v>0</v>
      </c>
      <c r="E12" s="48" t="n">
        <v>512000</v>
      </c>
      <c r="F12" s="48" t="n">
        <v>122500</v>
      </c>
      <c r="G12" s="31">
        <f>SUM(C12:F12)</f>
        <v/>
      </c>
      <c r="H12" s="31">
        <f>G12</f>
        <v/>
      </c>
      <c r="I12" s="32">
        <f>H12/$B$8</f>
        <v/>
      </c>
      <c r="J12" s="6" t="inlineStr">
        <is>
          <t>Q2-2025</t>
        </is>
      </c>
      <c r="K12" s="8" t="inlineStr">
        <is>
          <t>G1: AR approved; long-lead POs placed</t>
        </is>
      </c>
      <c r="L12" s="8" t="inlineStr">
        <is>
          <t>Deposits: EQ-001/2/3/5/9/11/13/14/15; hazmat permit submitted</t>
        </is>
      </c>
    </row>
    <row r="13">
      <c r="A13" s="6" t="n">
        <v>2</v>
      </c>
      <c r="B13" s="6" t="inlineStr">
        <is>
          <t>May-25</t>
        </is>
      </c>
      <c r="C13" s="48" t="n">
        <v>412500</v>
      </c>
      <c r="D13" s="48" t="n">
        <v>0</v>
      </c>
      <c r="E13" s="48" t="n">
        <v>431000</v>
      </c>
      <c r="F13" s="48" t="n">
        <v>97500</v>
      </c>
      <c r="G13" s="31">
        <f>SUM(C13:F13)</f>
        <v/>
      </c>
      <c r="H13" s="31">
        <f>H12+G13</f>
        <v/>
      </c>
      <c r="I13" s="32">
        <f>H13/$B$8</f>
        <v/>
      </c>
      <c r="J13" s="6" t="inlineStr">
        <is>
          <t>Q2-2025</t>
        </is>
      </c>
      <c r="K13" s="8" t="inlineStr">
        <is>
          <t>EQ-004/006/012 deposits; civil works begin</t>
        </is>
      </c>
      <c r="L13" s="8" t="inlineStr">
        <is>
          <t>TEL furnace + Daifuku conveyor + Daikin chiller deposits</t>
        </is>
      </c>
    </row>
    <row r="14">
      <c r="A14" s="6" t="n">
        <v>3</v>
      </c>
      <c r="B14" s="6" t="inlineStr">
        <is>
          <t>Jun-25</t>
        </is>
      </c>
      <c r="C14" s="48" t="n">
        <v>660000</v>
      </c>
      <c r="D14" s="48" t="n">
        <v>78000</v>
      </c>
      <c r="E14" s="48" t="n">
        <v>283000</v>
      </c>
      <c r="F14" s="48" t="n">
        <v>95000</v>
      </c>
      <c r="G14" s="31">
        <f>SUM(C14:F14)</f>
        <v/>
      </c>
      <c r="H14" s="31">
        <f>H13+G14</f>
        <v/>
      </c>
      <c r="I14" s="32">
        <f>H14/$B$8</f>
        <v/>
      </c>
      <c r="J14" s="6" t="inlineStr">
        <is>
          <t>Q2-2025</t>
        </is>
      </c>
      <c r="K14" s="8" t="inlineStr">
        <is>
          <t>EQ-005 milestone; robot FAT prep</t>
        </is>
      </c>
      <c r="L14" s="8" t="inlineStr">
        <is>
          <t>Brooks SCARA manufacturing milestone payment</t>
        </is>
      </c>
    </row>
    <row r="15">
      <c r="A15" s="6" t="n">
        <v>4</v>
      </c>
      <c r="B15" s="6" t="inlineStr">
        <is>
          <t>Jul-25</t>
        </is>
      </c>
      <c r="C15" s="48" t="n">
        <v>948000</v>
      </c>
      <c r="D15" s="48" t="n">
        <v>138000</v>
      </c>
      <c r="E15" s="48" t="n">
        <v>227000</v>
      </c>
      <c r="F15" s="48" t="n">
        <v>90000</v>
      </c>
      <c r="G15" s="31">
        <f>SUM(C15:F15)</f>
        <v/>
      </c>
      <c r="H15" s="31">
        <f>H14+G15</f>
        <v/>
      </c>
      <c r="I15" s="32">
        <f>H15/$B$8</f>
        <v/>
      </c>
      <c r="J15" s="6" t="inlineStr">
        <is>
          <t>Q3-2025</t>
        </is>
      </c>
      <c r="K15" s="8" t="inlineStr">
        <is>
          <t>EQ-001/009/013 milestones; electrical infra</t>
        </is>
      </c>
      <c r="L15" s="8" t="inlineStr">
        <is>
          <t>Pump + DCS milestones; electrical feeds energized</t>
        </is>
      </c>
    </row>
    <row r="16">
      <c r="A16" s="6" t="n">
        <v>5</v>
      </c>
      <c r="B16" s="6" t="inlineStr">
        <is>
          <t>Aug-25</t>
        </is>
      </c>
      <c r="C16" s="48" t="n">
        <v>1168000</v>
      </c>
      <c r="D16" s="48" t="n">
        <v>207000</v>
      </c>
      <c r="E16" s="48" t="n">
        <v>252000</v>
      </c>
      <c r="F16" s="48" t="n">
        <v>85000</v>
      </c>
      <c r="G16" s="31">
        <f>SUM(C16:F16)</f>
        <v/>
      </c>
      <c r="H16" s="31">
        <f>H15+G16</f>
        <v/>
      </c>
      <c r="I16" s="32">
        <f>H16/$B$8</f>
        <v/>
      </c>
      <c r="J16" s="6" t="inlineStr">
        <is>
          <t>Q3-2025</t>
        </is>
      </c>
      <c r="K16" s="8" t="inlineStr">
        <is>
          <t>EQ-003/011 milestones; cooling loop</t>
        </is>
      </c>
      <c r="L16" s="8" t="inlineStr">
        <is>
          <t>Thermco furnace + ABB transformer manufacturing milestone</t>
        </is>
      </c>
    </row>
    <row r="17">
      <c r="A17" s="6" t="n">
        <v>6</v>
      </c>
      <c r="B17" s="6" t="inlineStr">
        <is>
          <t>Sep-25</t>
        </is>
      </c>
      <c r="C17" s="48" t="n">
        <v>700000</v>
      </c>
      <c r="D17" s="48" t="n">
        <v>258000</v>
      </c>
      <c r="E17" s="48" t="n">
        <v>305000</v>
      </c>
      <c r="F17" s="48" t="n">
        <v>80000</v>
      </c>
      <c r="G17" s="31">
        <f>SUM(C17:F17)</f>
        <v/>
      </c>
      <c r="H17" s="31">
        <f>H16+G17</f>
        <v/>
      </c>
      <c r="I17" s="32">
        <f>H17/$B$8</f>
        <v/>
      </c>
      <c r="J17" s="6" t="inlineStr">
        <is>
          <t>Q3-2025</t>
        </is>
      </c>
      <c r="K17" s="8" t="inlineStr">
        <is>
          <t>EQ-007/015 milestones; hazmat permit rcvd</t>
        </is>
      </c>
      <c r="L17" s="8" t="inlineStr">
        <is>
          <t>Air Liquide gas + MiR AMR milestones; permit closes</t>
        </is>
      </c>
    </row>
    <row r="18">
      <c r="A18" s="6" t="n">
        <v>7</v>
      </c>
      <c r="B18" s="6" t="inlineStr">
        <is>
          <t>Oct-25</t>
        </is>
      </c>
      <c r="C18" s="48" t="n">
        <v>912500</v>
      </c>
      <c r="D18" s="48" t="n">
        <v>323000</v>
      </c>
      <c r="E18" s="48" t="n">
        <v>250000</v>
      </c>
      <c r="F18" s="48" t="n">
        <v>75000</v>
      </c>
      <c r="G18" s="31">
        <f>SUM(C18:F18)</f>
        <v/>
      </c>
      <c r="H18" s="31">
        <f>H17+G18</f>
        <v/>
      </c>
      <c r="I18" s="32">
        <f>H18/$B$8</f>
        <v/>
      </c>
      <c r="J18" s="6" t="inlineStr">
        <is>
          <t>Q4-2025</t>
        </is>
      </c>
      <c r="K18" s="8" t="inlineStr">
        <is>
          <t>EQ-014 milestone; deliveries begin</t>
        </is>
      </c>
      <c r="L18" s="8" t="inlineStr">
        <is>
          <t>AMAT RTP manufacturing milestone; EUR equipment deliveries</t>
        </is>
      </c>
    </row>
    <row r="19">
      <c r="A19" s="6" t="n">
        <v>8</v>
      </c>
      <c r="B19" s="6" t="inlineStr">
        <is>
          <t>Nov-25</t>
        </is>
      </c>
      <c r="C19" s="48" t="n">
        <v>577500</v>
      </c>
      <c r="D19" s="48" t="n">
        <v>353000</v>
      </c>
      <c r="E19" s="48" t="n">
        <v>230000</v>
      </c>
      <c r="F19" s="48" t="n">
        <v>70000</v>
      </c>
      <c r="G19" s="31">
        <f>SUM(C19:F19)</f>
        <v/>
      </c>
      <c r="H19" s="31">
        <f>H18+G19</f>
        <v/>
      </c>
      <c r="I19" s="32">
        <f>H19/$B$8</f>
        <v/>
      </c>
      <c r="J19" s="6" t="inlineStr">
        <is>
          <t>Q4-2025</t>
        </is>
      </c>
      <c r="K19" s="8" t="inlineStr">
        <is>
          <t>EQ-001/009/013 deliveries; installation peak</t>
        </is>
      </c>
      <c r="L19" s="8" t="inlineStr">
        <is>
          <t>Pump sets + DCS delivered; mechanical installation begins</t>
        </is>
      </c>
    </row>
    <row r="20">
      <c r="A20" s="6" t="n">
        <v>9</v>
      </c>
      <c r="B20" s="6" t="inlineStr">
        <is>
          <t>Dec-25</t>
        </is>
      </c>
      <c r="C20" s="48" t="n">
        <v>637000</v>
      </c>
      <c r="D20" s="48" t="n">
        <v>405000</v>
      </c>
      <c r="E20" s="48" t="n">
        <v>60000</v>
      </c>
      <c r="F20" s="48" t="n">
        <v>65000</v>
      </c>
      <c r="G20" s="31">
        <f>SUM(C20:F20)</f>
        <v/>
      </c>
      <c r="H20" s="31">
        <f>H19+G20</f>
        <v/>
      </c>
      <c r="I20" s="32">
        <f>H20/$B$8</f>
        <v/>
      </c>
      <c r="J20" s="6" t="inlineStr">
        <is>
          <t>Q4-2025</t>
        </is>
      </c>
      <c r="K20" s="8" t="inlineStr">
        <is>
          <t>G3/G4: final deliveries; PQ begins</t>
        </is>
      </c>
      <c r="L20" s="8" t="inlineStr">
        <is>
          <t>Thermco + Air Liquide + Daikin + MiR delivered; PQ start</t>
        </is>
      </c>
    </row>
    <row r="21">
      <c r="A21" s="19" t="n"/>
      <c r="B21" s="85" t="inlineStr">
        <is>
          <t>TOTAL 2025</t>
        </is>
      </c>
      <c r="C21" s="86">
        <f>SUM(C12:C20)</f>
        <v/>
      </c>
      <c r="D21" s="86">
        <f>SUM(D12:D20)</f>
        <v/>
      </c>
      <c r="E21" s="86">
        <f>SUM(E12:E20)</f>
        <v/>
      </c>
      <c r="F21" s="86">
        <f>SUM(F12:F20)</f>
        <v/>
      </c>
      <c r="G21" s="86">
        <f>SUM(G12:G20)</f>
        <v/>
      </c>
      <c r="H21" s="86">
        <f>H20</f>
        <v/>
      </c>
      <c r="I21" s="87">
        <f>I20</f>
        <v/>
      </c>
      <c r="J21" s="19" t="n"/>
      <c r="K21" s="19" t="n"/>
      <c r="L21" s="19" t="n"/>
    </row>
    <row r="23" ht="18" customHeight="1">
      <c r="A23" s="83" t="inlineStr">
        <is>
          <t>QUARTERLY CASH FLOW SUMMARY — DERIVED FROM MONTHLY DETAIL</t>
        </is>
      </c>
    </row>
    <row r="24" ht="30" customHeight="1">
      <c r="A24" s="84" t="inlineStr">
        <is>
          <t>Quarter</t>
        </is>
      </c>
      <c r="B24" s="84" t="inlineStr">
        <is>
          <t>Equip. Purchases</t>
        </is>
      </c>
      <c r="C24" s="84" t="inlineStr">
        <is>
          <t>Install &amp; Commissioning</t>
        </is>
      </c>
      <c r="D24" s="84" t="inlineStr">
        <is>
          <t>Facility Infra &amp; FX Reserve</t>
        </is>
      </c>
      <c r="E24" s="84" t="inlineStr">
        <is>
          <t>NRE/Engineering</t>
        </is>
      </c>
      <c r="F24" s="84" t="inlineStr">
        <is>
          <t>Total Quarter Spend</t>
        </is>
      </c>
      <c r="G24" s="84" t="inlineStr">
        <is>
          <t>Cumul. Spend</t>
        </is>
      </c>
      <c r="H24" s="84" t="inlineStr">
        <is>
          <t>% of AR Budget</t>
        </is>
      </c>
    </row>
    <row r="25">
      <c r="A25" s="6" t="inlineStr">
        <is>
          <t>Q2-2025</t>
        </is>
      </c>
      <c r="B25" s="31">
        <f>SUMIF($J$12:$J$20,A25,C12:C20)</f>
        <v/>
      </c>
      <c r="C25" s="31">
        <f>SUMIF($J$12:$J$20,A25,D12:D20)</f>
        <v/>
      </c>
      <c r="D25" s="31">
        <f>SUMIF($J$12:$J$20,A25,E12:E20)</f>
        <v/>
      </c>
      <c r="E25" s="31">
        <f>SUMIF($J$12:$J$20,A25,F12:F20)</f>
        <v/>
      </c>
      <c r="F25" s="31">
        <f>SUM(B25:E25)</f>
        <v/>
      </c>
      <c r="G25" s="31">
        <f>F25</f>
        <v/>
      </c>
      <c r="H25" s="32">
        <f>G25/$B$8</f>
        <v/>
      </c>
    </row>
    <row r="26">
      <c r="A26" s="6" t="inlineStr">
        <is>
          <t>Q3-2025</t>
        </is>
      </c>
      <c r="B26" s="31">
        <f>SUMIF($J$12:$J$20,A26,C12:C20)</f>
        <v/>
      </c>
      <c r="C26" s="31">
        <f>SUMIF($J$12:$J$20,A26,D12:D20)</f>
        <v/>
      </c>
      <c r="D26" s="31">
        <f>SUMIF($J$12:$J$20,A26,E12:E20)</f>
        <v/>
      </c>
      <c r="E26" s="31">
        <f>SUMIF($J$12:$J$20,A26,F12:F20)</f>
        <v/>
      </c>
      <c r="F26" s="31">
        <f>SUM(B26:E26)</f>
        <v/>
      </c>
      <c r="G26" s="31">
        <f>G25+F26</f>
        <v/>
      </c>
      <c r="H26" s="32">
        <f>G26/$B$8</f>
        <v/>
      </c>
    </row>
    <row r="27">
      <c r="A27" s="6" t="inlineStr">
        <is>
          <t>Q4-2025</t>
        </is>
      </c>
      <c r="B27" s="31">
        <f>SUMIF($J$12:$J$20,A27,C12:C20)</f>
        <v/>
      </c>
      <c r="C27" s="31">
        <f>SUMIF($J$12:$J$20,A27,D12:D20)</f>
        <v/>
      </c>
      <c r="D27" s="31">
        <f>SUMIF($J$12:$J$20,A27,E12:E20)</f>
        <v/>
      </c>
      <c r="E27" s="31">
        <f>SUMIF($J$12:$J$20,A27,F12:F20)</f>
        <v/>
      </c>
      <c r="F27" s="31">
        <f>SUM(B27:E27)</f>
        <v/>
      </c>
      <c r="G27" s="31">
        <f>G26+F27</f>
        <v/>
      </c>
      <c r="H27" s="32">
        <f>G27/$B$8</f>
        <v/>
      </c>
    </row>
    <row r="29">
      <c r="A29" s="85" t="inlineStr">
        <is>
          <t>PROGRAM TOTAL</t>
        </is>
      </c>
      <c r="B29" s="86">
        <f>SUM(B25:B27)</f>
        <v/>
      </c>
      <c r="C29" s="86">
        <f>SUM(C25:C27)</f>
        <v/>
      </c>
      <c r="D29" s="86">
        <f>SUM(D25:D27)</f>
        <v/>
      </c>
      <c r="E29" s="86">
        <f>SUM(E25:E27)</f>
        <v/>
      </c>
      <c r="F29" s="86">
        <f>SUM(F25:F27)</f>
        <v/>
      </c>
      <c r="G29" s="86">
        <f>G27</f>
        <v/>
      </c>
      <c r="H29" s="87">
        <f>H27</f>
        <v/>
      </c>
    </row>
  </sheetData>
  <mergeCells count="5">
    <mergeCell ref="A2:L2"/>
    <mergeCell ref="A10:L10"/>
    <mergeCell ref="A1:L1"/>
    <mergeCell ref="A23:H23"/>
    <mergeCell ref="A4:C4"/>
  </mergeCells>
  <pageMargins left="0.75" right="0.75" top="1" bottom="1" header="0.5" footer="0.5"/>
</worksheet>
</file>

<file path=xl/worksheets/sheet19.xml><?xml version="1.0" encoding="utf-8"?>
<worksheet xmlns="http://schemas.openxmlformats.org/spreadsheetml/2006/main">
  <sheetPr>
    <tabColor rgb="00E67E22"/>
    <outlinePr summaryBelow="1" summaryRight="1"/>
    <pageSetUpPr/>
  </sheetPr>
  <dimension ref="A1:N31"/>
  <sheetViews>
    <sheetView workbookViewId="0">
      <pane ySplit="11" topLeftCell="A12" activePane="bottomLeft" state="frozen"/>
      <selection pane="bottomLeft" activeCell="A1" sqref="A1"/>
    </sheetView>
  </sheetViews>
  <sheetFormatPr baseColWidth="8" defaultRowHeight="15"/>
  <cols>
    <col width="9" customWidth="1" min="1" max="1"/>
    <col width="30" customWidth="1" min="2" max="2"/>
    <col width="6" customWidth="1" min="3" max="3"/>
    <col width="16" customWidth="1" min="4" max="4"/>
    <col width="12" customWidth="1" min="5" max="5"/>
    <col width="14" customWidth="1" min="6" max="6"/>
    <col width="12" customWidth="1" min="7" max="7"/>
    <col width="14" customWidth="1" min="8" max="8"/>
    <col width="14" customWidth="1" min="9" max="9"/>
    <col width="12" customWidth="1" min="10" max="10"/>
    <col width="14" customWidth="1" min="11" max="11"/>
    <col width="11" customWidth="1" min="12" max="12"/>
    <col width="10" customWidth="1" min="13" max="13"/>
    <col width="46" customWidth="1" min="14" max="14"/>
  </cols>
  <sheetData>
    <row r="1" ht="26" customHeight="1">
      <c r="A1" s="82" t="inlineStr">
        <is>
          <t>S15 — FX Exposure &amp; Currency Risk Model — EUR / JPY Equipment Purchases</t>
        </is>
      </c>
    </row>
    <row r="2" ht="15" customHeight="1">
      <c r="A2" s="2" t="inlineStr">
        <is>
          <t>Program: Greenfield Expansion Phase II | ~40% of portfolio denominated in EUR or JPY | All baseline/stress rates from S01_Disclaimer_Assumptions | Hedge status linked to cash flow schedule</t>
        </is>
      </c>
    </row>
    <row r="4" ht="18" customHeight="1">
      <c r="A4" s="83" t="inlineStr">
        <is>
          <t>FX RATE ASSUMPTIONS (Linked from S01_Disclaimer_Assumptions)</t>
        </is>
      </c>
    </row>
    <row r="5" ht="30" customHeight="1">
      <c r="A5" s="84" t="inlineStr">
        <is>
          <t>Rate Parameter</t>
        </is>
      </c>
      <c r="B5" s="84" t="inlineStr">
        <is>
          <t>Baseline</t>
        </is>
      </c>
      <c r="C5" s="84" t="inlineStr">
        <is>
          <t>Adverse</t>
        </is>
      </c>
      <c r="D5" s="84" t="inlineStr">
        <is>
          <t>Favorable</t>
        </is>
      </c>
      <c r="E5" s="84" t="inlineStr">
        <is>
          <t>Notes</t>
        </is>
      </c>
    </row>
    <row r="6">
      <c r="A6" t="inlineStr">
        <is>
          <t>USD/EUR (baseline, USD per EUR)</t>
        </is>
      </c>
      <c r="B6" s="93">
        <f>'S01_Disclaimer_Assumptions'!$B$56</f>
        <v/>
      </c>
      <c r="C6" s="93">
        <f>'S01_Disclaimer_Assumptions'!$B$58</f>
        <v/>
      </c>
      <c r="D6" s="93">
        <f>'S01_Disclaimer_Assumptions'!$B$59</f>
        <v/>
      </c>
      <c r="E6" t="inlineStr">
        <is>
          <t>1% move in EUR/USD ~ $85K portfolio impact</t>
        </is>
      </c>
    </row>
    <row r="7">
      <c r="A7" t="inlineStr">
        <is>
          <t>USD/JPY (baseline, JPY per USD)</t>
        </is>
      </c>
      <c r="B7" s="93">
        <f>'S01_Disclaimer_Assumptions'!$B$57</f>
        <v/>
      </c>
      <c r="C7" s="93">
        <f>'S01_Disclaimer_Assumptions'!$B$60</f>
        <v/>
      </c>
      <c r="D7" s="93">
        <f>'S01_Disclaimer_Assumptions'!$B$61</f>
        <v/>
      </c>
      <c r="E7" t="inlineStr">
        <is>
          <t>Stronger JPY (lower rate) = higher USD cost</t>
        </is>
      </c>
    </row>
    <row r="9" ht="18" customHeight="1">
      <c r="A9" s="83" t="inlineStr">
        <is>
          <t>EQUIPMENT-LEVEL FX EXPOSURE ANALYSIS</t>
        </is>
      </c>
    </row>
    <row r="10" ht="30" customHeight="1">
      <c r="A10" s="84" t="inlineStr">
        <is>
          <t>Equip ID</t>
        </is>
      </c>
      <c r="B10" s="84" t="inlineStr">
        <is>
          <t>Tool Description</t>
        </is>
      </c>
      <c r="C10" s="84" t="inlineStr">
        <is>
          <t>Ccy</t>
        </is>
      </c>
      <c r="D10" s="84" t="inlineStr">
        <is>
          <t>Contract Value (Local Ccy)</t>
        </is>
      </c>
      <c r="E10" s="84" t="inlineStr">
        <is>
          <t>Baseline FX Rate</t>
        </is>
      </c>
      <c r="F10" s="84" t="inlineStr">
        <is>
          <t>Baseline USD Cost</t>
        </is>
      </c>
      <c r="G10" s="84" t="inlineStr">
        <is>
          <t>Adverse FX Rate</t>
        </is>
      </c>
      <c r="H10" s="84" t="inlineStr">
        <is>
          <t>Adverse USD Cost</t>
        </is>
      </c>
      <c r="I10" s="84" t="inlineStr">
        <is>
          <t>Adverse Impact (USD)</t>
        </is>
      </c>
      <c r="J10" s="84" t="inlineStr">
        <is>
          <t>Favorable FX Rate</t>
        </is>
      </c>
      <c r="K10" s="84" t="inlineStr">
        <is>
          <t>Favorable USD Cost</t>
        </is>
      </c>
      <c r="L10" s="84" t="inlineStr">
        <is>
          <t>Hedge Status</t>
        </is>
      </c>
      <c r="M10" s="84" t="inlineStr">
        <is>
          <t>Hedge Rate</t>
        </is>
      </c>
      <c r="N10" s="84" t="inlineStr">
        <is>
          <t>Notes</t>
        </is>
      </c>
    </row>
    <row r="11">
      <c r="A11" s="6" t="inlineStr">
        <is>
          <t>EQ-001</t>
        </is>
      </c>
      <c r="B11" s="6" t="inlineStr">
        <is>
          <t>Dry Screw Vacuum Pump (x4)</t>
        </is>
      </c>
      <c r="C11" s="6" t="inlineStr">
        <is>
          <t>EUR</t>
        </is>
      </c>
      <c r="D11" s="94">
        <f>'S02_Equipment_Portfolio'!I5/'S01_Disclaimer_Assumptions'!$B$56</f>
        <v/>
      </c>
      <c r="E11" s="33">
        <f>'S01_Disclaimer_Assumptions'!$B$56</f>
        <v/>
      </c>
      <c r="F11" s="31">
        <f>D11*E11</f>
        <v/>
      </c>
      <c r="G11" s="33">
        <f>'S01_Disclaimer_Assumptions'!$B$58</f>
        <v/>
      </c>
      <c r="H11" s="31">
        <f>D11*G11</f>
        <v/>
      </c>
      <c r="I11" s="31">
        <f>H11-F11</f>
        <v/>
      </c>
      <c r="J11" s="33">
        <f>'S01_Disclaimer_Assumptions'!$B$59</f>
        <v/>
      </c>
      <c r="K11" s="31">
        <f>D11*J11</f>
        <v/>
      </c>
      <c r="L11" s="40" t="inlineStr">
        <is>
          <t>HEDGED</t>
        </is>
      </c>
      <c r="M11" s="91" t="n">
        <v>1.085</v>
      </c>
      <c r="N11" s="8" t="inlineStr">
        <is>
          <t>Forward contract executed; rate locked at 1.085 through Q3-2025</t>
        </is>
      </c>
    </row>
    <row r="12">
      <c r="A12" s="6" t="inlineStr">
        <is>
          <t>EQ-002</t>
        </is>
      </c>
      <c r="B12" s="6" t="inlineStr">
        <is>
          <t>Turbomolecular Pump (x3)</t>
        </is>
      </c>
      <c r="C12" s="6" t="inlineStr">
        <is>
          <t>EUR</t>
        </is>
      </c>
      <c r="D12" s="94">
        <f>'S02_Equipment_Portfolio'!I6/'S01_Disclaimer_Assumptions'!$B$56</f>
        <v/>
      </c>
      <c r="E12" s="33">
        <f>'S01_Disclaimer_Assumptions'!$B$56</f>
        <v/>
      </c>
      <c r="F12" s="31">
        <f>D12*E12</f>
        <v/>
      </c>
      <c r="G12" s="33">
        <f>'S01_Disclaimer_Assumptions'!$B$58</f>
        <v/>
      </c>
      <c r="H12" s="31">
        <f>D12*G12</f>
        <v/>
      </c>
      <c r="I12" s="31">
        <f>H12-F12</f>
        <v/>
      </c>
      <c r="J12" s="33">
        <f>'S01_Disclaimer_Assumptions'!$B$59</f>
        <v/>
      </c>
      <c r="K12" s="31">
        <f>D12*J12</f>
        <v/>
      </c>
      <c r="L12" s="40" t="inlineStr">
        <is>
          <t>HEDGED</t>
        </is>
      </c>
      <c r="M12" s="91" t="n">
        <v>1.09</v>
      </c>
      <c r="N12" s="8" t="inlineStr">
        <is>
          <t>Forward contract at baseline rate; expires Q3-2025</t>
        </is>
      </c>
    </row>
    <row r="13">
      <c r="A13" s="6" t="inlineStr">
        <is>
          <t>EQ-004</t>
        </is>
      </c>
      <c r="B13" s="6" t="inlineStr">
        <is>
          <t>Batch Oxidation Furnace — TEL (x2)</t>
        </is>
      </c>
      <c r="C13" s="6" t="inlineStr">
        <is>
          <t>JPY</t>
        </is>
      </c>
      <c r="D13" s="94">
        <f>'S02_Equipment_Portfolio'!I8*'S01_Disclaimer_Assumptions'!$B$57</f>
        <v/>
      </c>
      <c r="E13" s="33">
        <f>'S01_Disclaimer_Assumptions'!$B$57</f>
        <v/>
      </c>
      <c r="F13" s="31">
        <f>D13/E13</f>
        <v/>
      </c>
      <c r="G13" s="33">
        <f>'S01_Disclaimer_Assumptions'!$B$60</f>
        <v/>
      </c>
      <c r="H13" s="31">
        <f>D13/G13</f>
        <v/>
      </c>
      <c r="I13" s="31">
        <f>H13-F13</f>
        <v/>
      </c>
      <c r="J13" s="33">
        <f>'S01_Disclaimer_Assumptions'!$B$61</f>
        <v/>
      </c>
      <c r="K13" s="31">
        <f>D13/J13</f>
        <v/>
      </c>
      <c r="L13" s="40" t="inlineStr">
        <is>
          <t>HEDGED</t>
        </is>
      </c>
      <c r="M13" s="91" t="n">
        <v>149</v>
      </c>
      <c r="N13" s="8" t="inlineStr">
        <is>
          <t>Forward contract at 149.0 JPY/USD; DEC-003 + CR-008 reference</t>
        </is>
      </c>
    </row>
    <row r="14">
      <c r="A14" s="6" t="inlineStr">
        <is>
          <t>EQ-006</t>
        </is>
      </c>
      <c r="B14" s="6" t="inlineStr">
        <is>
          <t>Overhead Conveyor — Daifuku</t>
        </is>
      </c>
      <c r="C14" s="6" t="inlineStr">
        <is>
          <t>JPY</t>
        </is>
      </c>
      <c r="D14" s="94">
        <f>'S02_Equipment_Portfolio'!I10*'S01_Disclaimer_Assumptions'!$B$57</f>
        <v/>
      </c>
      <c r="E14" s="33">
        <f>'S01_Disclaimer_Assumptions'!$B$57</f>
        <v/>
      </c>
      <c r="F14" s="31">
        <f>D14/E14</f>
        <v/>
      </c>
      <c r="G14" s="33">
        <f>'S01_Disclaimer_Assumptions'!$B$60</f>
        <v/>
      </c>
      <c r="H14" s="31">
        <f>D14/G14</f>
        <v/>
      </c>
      <c r="I14" s="31">
        <f>H14-F14</f>
        <v/>
      </c>
      <c r="J14" s="33">
        <f>'S01_Disclaimer_Assumptions'!$B$61</f>
        <v/>
      </c>
      <c r="K14" s="31">
        <f>D14/J14</f>
        <v/>
      </c>
      <c r="L14" s="40" t="inlineStr">
        <is>
          <t>HEDGED</t>
        </is>
      </c>
      <c r="M14" s="91" t="n">
        <v>149</v>
      </c>
      <c r="N14" s="8" t="inlineStr">
        <is>
          <t>Hedged as part of JPY program-wide forward contract</t>
        </is>
      </c>
    </row>
    <row r="15">
      <c r="A15" s="6" t="inlineStr">
        <is>
          <t>EQ-007</t>
        </is>
      </c>
      <c r="B15" s="6" t="inlineStr">
        <is>
          <t>Gas Handling Cabinet (x4)</t>
        </is>
      </c>
      <c r="C15" s="6" t="inlineStr">
        <is>
          <t>EUR</t>
        </is>
      </c>
      <c r="D15" s="94">
        <f>'S02_Equipment_Portfolio'!I11/'S01_Disclaimer_Assumptions'!$B$56</f>
        <v/>
      </c>
      <c r="E15" s="33">
        <f>'S01_Disclaimer_Assumptions'!$B$56</f>
        <v/>
      </c>
      <c r="F15" s="31">
        <f>D15*E15</f>
        <v/>
      </c>
      <c r="G15" s="33">
        <f>'S01_Disclaimer_Assumptions'!$B$58</f>
        <v/>
      </c>
      <c r="H15" s="31">
        <f>D15*G15</f>
        <v/>
      </c>
      <c r="I15" s="31">
        <f>H15-F15</f>
        <v/>
      </c>
      <c r="J15" s="33">
        <f>'S01_Disclaimer_Assumptions'!$B$59</f>
        <v/>
      </c>
      <c r="K15" s="31">
        <f>D15*J15</f>
        <v/>
      </c>
      <c r="L15" s="46" t="inlineStr">
        <is>
          <t>OPEN</t>
        </is>
      </c>
      <c r="M15" s="6" t="inlineStr">
        <is>
          <t>N/A</t>
        </is>
      </c>
      <c r="N15" s="8" t="inlineStr">
        <is>
          <t>Quote under negotiation; PO not yet placed; unhedged exposure</t>
        </is>
      </c>
    </row>
    <row r="16">
      <c r="A16" s="6" t="inlineStr">
        <is>
          <t>EQ-008</t>
        </is>
      </c>
      <c r="B16" s="6" t="inlineStr">
        <is>
          <t>Bulk Gas Storage — Linde</t>
        </is>
      </c>
      <c r="C16" s="6" t="inlineStr">
        <is>
          <t>EUR</t>
        </is>
      </c>
      <c r="D16" s="94">
        <f>'S02_Equipment_Portfolio'!I12/'S01_Disclaimer_Assumptions'!$B$56</f>
        <v/>
      </c>
      <c r="E16" s="33">
        <f>'S01_Disclaimer_Assumptions'!$B$56</f>
        <v/>
      </c>
      <c r="F16" s="31">
        <f>D16*E16</f>
        <v/>
      </c>
      <c r="G16" s="33">
        <f>'S01_Disclaimer_Assumptions'!$B$58</f>
        <v/>
      </c>
      <c r="H16" s="31">
        <f>D16*G16</f>
        <v/>
      </c>
      <c r="I16" s="31">
        <f>H16-F16</f>
        <v/>
      </c>
      <c r="J16" s="33">
        <f>'S01_Disclaimer_Assumptions'!$B$59</f>
        <v/>
      </c>
      <c r="K16" s="31">
        <f>D16*J16</f>
        <v/>
      </c>
      <c r="L16" s="40" t="inlineStr">
        <is>
          <t>HEDGED</t>
        </is>
      </c>
      <c r="M16" s="91" t="n">
        <v>1.09</v>
      </c>
      <c r="N16" s="8" t="inlineStr">
        <is>
          <t>Hedged at PO placement; long-lead item requires early hedge</t>
        </is>
      </c>
    </row>
    <row r="17">
      <c r="A17" s="6" t="inlineStr">
        <is>
          <t>EQ-009</t>
        </is>
      </c>
      <c r="B17" s="6" t="inlineStr">
        <is>
          <t>DCS — Siemens S7-1500 (x5)</t>
        </is>
      </c>
      <c r="C17" s="6" t="inlineStr">
        <is>
          <t>EUR</t>
        </is>
      </c>
      <c r="D17" s="94">
        <f>'S02_Equipment_Portfolio'!I13/'S01_Disclaimer_Assumptions'!$B$56</f>
        <v/>
      </c>
      <c r="E17" s="33">
        <f>'S01_Disclaimer_Assumptions'!$B$56</f>
        <v/>
      </c>
      <c r="F17" s="31">
        <f>D17*E17</f>
        <v/>
      </c>
      <c r="G17" s="33">
        <f>'S01_Disclaimer_Assumptions'!$B$58</f>
        <v/>
      </c>
      <c r="H17" s="31">
        <f>D17*G17</f>
        <v/>
      </c>
      <c r="I17" s="31">
        <f>H17-F17</f>
        <v/>
      </c>
      <c r="J17" s="33">
        <f>'S01_Disclaimer_Assumptions'!$B$59</f>
        <v/>
      </c>
      <c r="K17" s="31">
        <f>D17*J17</f>
        <v/>
      </c>
      <c r="L17" s="40" t="inlineStr">
        <is>
          <t>HEDGED</t>
        </is>
      </c>
      <c r="M17" s="91" t="n">
        <v>1.09</v>
      </c>
      <c r="N17" s="8" t="inlineStr">
        <is>
          <t>Hedged with EUR program forward; expires Q2-2025</t>
        </is>
      </c>
    </row>
    <row r="18">
      <c r="A18" s="6" t="inlineStr">
        <is>
          <t>EQ-012</t>
        </is>
      </c>
      <c r="B18" s="6" t="inlineStr">
        <is>
          <t>Process Chiller — Daikin (x3)</t>
        </is>
      </c>
      <c r="C18" s="6" t="inlineStr">
        <is>
          <t>JPY</t>
        </is>
      </c>
      <c r="D18" s="94">
        <f>'S02_Equipment_Portfolio'!I16*'S01_Disclaimer_Assumptions'!$B$57</f>
        <v/>
      </c>
      <c r="E18" s="33">
        <f>'S01_Disclaimer_Assumptions'!$B$57</f>
        <v/>
      </c>
      <c r="F18" s="31">
        <f>D18/E18</f>
        <v/>
      </c>
      <c r="G18" s="33">
        <f>'S01_Disclaimer_Assumptions'!$B$60</f>
        <v/>
      </c>
      <c r="H18" s="31">
        <f>D18/G18</f>
        <v/>
      </c>
      <c r="I18" s="31">
        <f>H18-F18</f>
        <v/>
      </c>
      <c r="J18" s="33">
        <f>'S01_Disclaimer_Assumptions'!$B$61</f>
        <v/>
      </c>
      <c r="K18" s="31">
        <f>D18/J18</f>
        <v/>
      </c>
      <c r="L18" s="40" t="inlineStr">
        <is>
          <t>HEDGED</t>
        </is>
      </c>
      <c r="M18" s="91" t="n">
        <v>149</v>
      </c>
      <c r="N18" s="8" t="inlineStr">
        <is>
          <t>Included in JPY hedge package; Daikin invoice in JPY</t>
        </is>
      </c>
    </row>
    <row r="19">
      <c r="A19" s="6" t="inlineStr">
        <is>
          <t>EQ-013</t>
        </is>
      </c>
      <c r="B19" s="6" t="inlineStr">
        <is>
          <t>Roots Blower Booster (x6)</t>
        </is>
      </c>
      <c r="C19" s="6" t="inlineStr">
        <is>
          <t>EUR</t>
        </is>
      </c>
      <c r="D19" s="94">
        <f>'S02_Equipment_Portfolio'!I17/'S01_Disclaimer_Assumptions'!$B$56</f>
        <v/>
      </c>
      <c r="E19" s="33">
        <f>'S01_Disclaimer_Assumptions'!$B$56</f>
        <v/>
      </c>
      <c r="F19" s="31">
        <f>D19*E19</f>
        <v/>
      </c>
      <c r="G19" s="33">
        <f>'S01_Disclaimer_Assumptions'!$B$58</f>
        <v/>
      </c>
      <c r="H19" s="31">
        <f>D19*G19</f>
        <v/>
      </c>
      <c r="I19" s="31">
        <f>H19-F19</f>
        <v/>
      </c>
      <c r="J19" s="33">
        <f>'S01_Disclaimer_Assumptions'!$B$59</f>
        <v/>
      </c>
      <c r="K19" s="31">
        <f>D19*J19</f>
        <v/>
      </c>
      <c r="L19" s="40" t="inlineStr">
        <is>
          <t>HEDGED</t>
        </is>
      </c>
      <c r="M19" s="91" t="n">
        <v>1.085</v>
      </c>
      <c r="N19" s="8" t="inlineStr">
        <is>
          <t>Forward at 1.085; coordinated with EQ-001 Edwards delivery schedule</t>
        </is>
      </c>
    </row>
    <row r="20">
      <c r="A20" s="6" t="inlineStr">
        <is>
          <t>EQ-015</t>
        </is>
      </c>
      <c r="B20" s="6" t="inlineStr">
        <is>
          <t>AMR Fleet — MiR (x10)</t>
        </is>
      </c>
      <c r="C20" s="6" t="inlineStr">
        <is>
          <t>EUR</t>
        </is>
      </c>
      <c r="D20" s="94">
        <f>'S02_Equipment_Portfolio'!I19/'S01_Disclaimer_Assumptions'!$B$56</f>
        <v/>
      </c>
      <c r="E20" s="33">
        <f>'S01_Disclaimer_Assumptions'!$B$56</f>
        <v/>
      </c>
      <c r="F20" s="31">
        <f>D20*E20</f>
        <v/>
      </c>
      <c r="G20" s="33">
        <f>'S01_Disclaimer_Assumptions'!$B$58</f>
        <v/>
      </c>
      <c r="H20" s="31">
        <f>D20*G20</f>
        <v/>
      </c>
      <c r="I20" s="31">
        <f>H20-F20</f>
        <v/>
      </c>
      <c r="J20" s="33">
        <f>'S01_Disclaimer_Assumptions'!$B$59</f>
        <v/>
      </c>
      <c r="K20" s="31">
        <f>D20*J20</f>
        <v/>
      </c>
      <c r="L20" s="40" t="inlineStr">
        <is>
          <t>HEDGED</t>
        </is>
      </c>
      <c r="M20" s="91" t="n">
        <v>1.09</v>
      </c>
      <c r="N20" s="8" t="inlineStr">
        <is>
          <t>Hedged at PO placement; forward expires Q3-2025</t>
        </is>
      </c>
    </row>
    <row r="21">
      <c r="A21" s="85" t="inlineStr">
        <is>
          <t>FX PORTFOLIO TOTALS</t>
        </is>
      </c>
      <c r="B21" s="19" t="n"/>
      <c r="C21" s="19" t="n"/>
      <c r="D21" s="86">
        <f>SUM(D11:D20)</f>
        <v/>
      </c>
      <c r="E21" s="19" t="n"/>
      <c r="F21" s="86">
        <f>SUM(F11:F20)</f>
        <v/>
      </c>
      <c r="G21" s="19" t="n"/>
      <c r="H21" s="86">
        <f>SUM(H11:H20)</f>
        <v/>
      </c>
      <c r="I21" s="86">
        <f>SUM(I11:I20)</f>
        <v/>
      </c>
      <c r="J21" s="19" t="n"/>
      <c r="K21" s="86">
        <f>SUM(K11:K20)</f>
        <v/>
      </c>
      <c r="L21" s="19" t="n"/>
      <c r="M21" s="19" t="n"/>
      <c r="N21" s="19" t="n"/>
    </row>
    <row r="23" ht="18" customHeight="1">
      <c r="A23" s="83" t="inlineStr">
        <is>
          <t>FX EXPOSURE SUMMARY &amp; HEDGE EFFECTIVENESS</t>
        </is>
      </c>
    </row>
    <row r="24">
      <c r="A24" s="6" t="inlineStr">
        <is>
          <t>Total EUR-Denominated Spend (baseline USD)</t>
        </is>
      </c>
      <c r="B24" s="50">
        <f>SUMIF(C11:C20,"EUR",F11:F20)</f>
        <v/>
      </c>
    </row>
    <row r="25">
      <c r="A25" s="6" t="inlineStr">
        <is>
          <t>Total JPY-Denominated Spend (baseline USD)</t>
        </is>
      </c>
      <c r="B25" s="50">
        <f>SUMIF(C11:C20,"JPY",F11:F20)</f>
        <v/>
      </c>
    </row>
    <row r="26">
      <c r="A26" s="6" t="inlineStr">
        <is>
          <t>Total Portfolio FX-Exposed Spend (baseline USD)</t>
        </is>
      </c>
      <c r="B26" s="50">
        <f>F21</f>
        <v/>
      </c>
    </row>
    <row r="27">
      <c r="A27" s="6" t="inlineStr">
        <is>
          <t>Adverse FX Impact (if fully unhedged)</t>
        </is>
      </c>
      <c r="B27" s="50">
        <f>I21</f>
        <v/>
      </c>
    </row>
    <row r="28">
      <c r="A28" s="6" t="inlineStr">
        <is>
          <t>Items Fully Hedged</t>
        </is>
      </c>
      <c r="B28" s="49">
        <f>COUNTIF(L11:L20,"HEDGED")</f>
        <v/>
      </c>
    </row>
    <row r="29">
      <c r="A29" s="6" t="inlineStr">
        <is>
          <t>Items with Open Unhedged Exposure</t>
        </is>
      </c>
      <c r="B29" s="49">
        <f>COUNTIF(L11:L20,"OPEN")</f>
        <v/>
      </c>
    </row>
    <row r="30">
      <c r="A30" s="6" t="inlineStr">
        <is>
          <t>FX Reserve in AR Budget (USD)</t>
        </is>
      </c>
      <c r="B30" s="48" t="n">
        <v>485000</v>
      </c>
    </row>
    <row r="31">
      <c r="A31" s="6" t="inlineStr">
        <is>
          <t>Net FX Risk After Reserve</t>
        </is>
      </c>
      <c r="B31" s="50">
        <f>I21+B30</f>
        <v/>
      </c>
    </row>
  </sheetData>
  <mergeCells count="5">
    <mergeCell ref="A9:N9"/>
    <mergeCell ref="A4:E4"/>
    <mergeCell ref="A2:N2"/>
    <mergeCell ref="A23:B23"/>
    <mergeCell ref="A1:N1"/>
  </mergeCells>
  <pageMargins left="0.75" right="0.75" top="1" bottom="1" header="0.5" footer="0.5"/>
</worksheet>
</file>

<file path=xl/worksheets/sheet20.xml><?xml version="1.0" encoding="utf-8"?>
<worksheet xmlns="http://schemas.openxmlformats.org/spreadsheetml/2006/main">
  <sheetPr>
    <tabColor rgb="00E67E22"/>
    <outlinePr summaryBelow="1" summaryRight="1"/>
    <pageSetUpPr/>
  </sheetPr>
  <dimension ref="A1:O56"/>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32" customWidth="1" min="3" max="3"/>
    <col width="10" customWidth="1" min="4" max="4"/>
    <col width="11" customWidth="1" min="5" max="5"/>
    <col width="11" customWidth="1" min="6" max="6"/>
    <col width="10" customWidth="1" min="7" max="7"/>
    <col width="12" customWidth="1" min="8" max="8"/>
    <col width="13" customWidth="1" min="9" max="9"/>
    <col width="10" customWidth="1" min="10" max="10"/>
    <col width="10" customWidth="1" min="11" max="11"/>
    <col width="10" customWidth="1" min="12" max="12"/>
    <col width="50" customWidth="1" min="13" max="13"/>
    <col width="13" customWidth="1" min="14" max="14"/>
    <col width="12" customWidth="1" min="15" max="15"/>
  </cols>
  <sheetData>
    <row r="1" ht="26" customHeight="1">
      <c r="A1" s="82" t="inlineStr">
        <is>
          <t>S16 — Supply Chain Risk &amp; Lead-Time Analysis — CapEx Equipment Program</t>
        </is>
      </c>
    </row>
    <row r="2" ht="15" customHeight="1">
      <c r="A2" s="2" t="inlineStr">
        <is>
          <t>Risk Score = Delay Probability x Schedule Impact Score x Replacement Difficulty | Heatmap tiers: LOW / MODERATE / HIGH / CRITICAL | Single-source components auto-flagged CRITICAL if Risk Score &gt; 20 | Program ID column enables portfolio-wide rollups</t>
        </is>
      </c>
    </row>
    <row r="4" ht="30" customHeight="1">
      <c r="A4" s="84" t="inlineStr">
        <is>
          <t>Equip Ref</t>
        </is>
      </c>
      <c r="B4" s="84" t="inlineStr">
        <is>
          <t>Supplier</t>
        </is>
      </c>
      <c r="C4" s="84" t="inlineStr">
        <is>
          <t>Component / Sub-System</t>
        </is>
      </c>
      <c r="D4" s="84" t="inlineStr">
        <is>
          <t>Std Lead (wks)</t>
        </is>
      </c>
      <c r="E4" s="84" t="inlineStr">
        <is>
          <t>Current Lead (wks)</t>
        </is>
      </c>
      <c r="F4" s="84" t="inlineStr">
        <is>
          <t>Delay Prob. (0-1)</t>
        </is>
      </c>
      <c r="G4" s="84" t="inlineStr">
        <is>
          <t>Sched. Impact (1-5)</t>
        </is>
      </c>
      <c r="H4" s="84" t="inlineStr">
        <is>
          <t>Replace Difficulty (1-5)</t>
        </is>
      </c>
      <c r="I4" s="84" t="inlineStr">
        <is>
          <t>Composite Risk Score</t>
        </is>
      </c>
      <c r="J4" s="84" t="inlineStr">
        <is>
          <t>Risk Tier</t>
        </is>
      </c>
      <c r="K4" s="84" t="inlineStr">
        <is>
          <t>Single Source?</t>
        </is>
      </c>
      <c r="L4" s="84" t="inlineStr">
        <is>
          <t>Buffer Stock?</t>
        </is>
      </c>
      <c r="M4" s="84" t="inlineStr">
        <is>
          <t>Mitigation Action</t>
        </is>
      </c>
      <c r="N4" s="84" t="inlineStr">
        <is>
          <t>Status</t>
        </is>
      </c>
      <c r="O4" s="84" t="inlineStr">
        <is>
          <t>Program ID</t>
        </is>
      </c>
    </row>
    <row r="5">
      <c r="A5" s="6" t="inlineStr">
        <is>
          <t>EQ-001</t>
        </is>
      </c>
      <c r="B5" s="6" t="inlineStr">
        <is>
          <t>Edwards Vacuum</t>
        </is>
      </c>
      <c r="C5" s="6" t="inlineStr">
        <is>
          <t>Dry Screw Pump – Complete Unit</t>
        </is>
      </c>
      <c r="D5" s="43" t="n">
        <v>14</v>
      </c>
      <c r="E5" s="43" t="n">
        <v>18</v>
      </c>
      <c r="F5" s="47" t="n">
        <v>0.35</v>
      </c>
      <c r="G5" s="43" t="n">
        <v>3</v>
      </c>
      <c r="H5" s="43" t="n">
        <v>2</v>
      </c>
      <c r="I5" s="33">
        <f>F5*G5*H5</f>
        <v/>
      </c>
      <c r="J5" s="6">
        <f>IF(OR(K5="YES",I5&gt;20),IF(I5&gt;20,"CRITICAL",IF(K5="YES","CRITICAL","HIGH")),IF(I5&gt;8,"HIGH",IF(I5&gt;2,"MODERATE","LOW")))</f>
        <v/>
      </c>
      <c r="K5" s="6" t="inlineStr">
        <is>
          <t>No</t>
        </is>
      </c>
      <c r="L5" s="6" t="inlineStr">
        <is>
          <t>No</t>
        </is>
      </c>
      <c r="M5" s="8" t="inlineStr">
        <is>
          <t>Expedite order; confirm delivery schedule with supplier weekly; pre-qualify Busch as alt</t>
        </is>
      </c>
      <c r="N5" s="6" t="inlineStr">
        <is>
          <t>IN PROGRESS</t>
        </is>
      </c>
      <c r="O5" s="55" t="inlineStr">
        <is>
          <t>PRG-001</t>
        </is>
      </c>
    </row>
    <row r="6">
      <c r="A6" s="6" t="inlineStr">
        <is>
          <t>EQ-002</t>
        </is>
      </c>
      <c r="B6" s="6" t="inlineStr">
        <is>
          <t>Pfeiffer Vacuum</t>
        </is>
      </c>
      <c r="C6" s="6" t="inlineStr">
        <is>
          <t>Turbomolecular Pump – Complete Unit</t>
        </is>
      </c>
      <c r="D6" s="43" t="n">
        <v>16</v>
      </c>
      <c r="E6" s="43" t="n">
        <v>26</v>
      </c>
      <c r="F6" s="47" t="n">
        <v>0.55</v>
      </c>
      <c r="G6" s="43" t="n">
        <v>5</v>
      </c>
      <c r="H6" s="43" t="n">
        <v>5</v>
      </c>
      <c r="I6" s="33">
        <f>F6*G6*H6</f>
        <v/>
      </c>
      <c r="J6" s="6">
        <f>IF(OR(K6="YES",I6&gt;20),IF(I6&gt;20,"CRITICAL",IF(K6="YES","CRITICAL","HIGH")),IF(I6&gt;8,"HIGH",IF(I6&gt;2,"MODERATE","LOW")))</f>
        <v/>
      </c>
      <c r="K6" s="6" t="inlineStr">
        <is>
          <t>YES</t>
        </is>
      </c>
      <c r="L6" s="6" t="inlineStr">
        <is>
          <t>No</t>
        </is>
      </c>
      <c r="M6" s="8" t="inlineStr">
        <is>
          <t>CRITICAL PATH: Escalate to VP Supply Chain; evaluate rebuilt unit as bridge; initiate alt vendor qual</t>
        </is>
      </c>
      <c r="N6" s="6" t="inlineStr">
        <is>
          <t>ESCALATED</t>
        </is>
      </c>
      <c r="O6" s="55" t="inlineStr">
        <is>
          <t>PRG-001</t>
        </is>
      </c>
    </row>
    <row r="7">
      <c r="A7" s="6" t="inlineStr">
        <is>
          <t>EQ-002</t>
        </is>
      </c>
      <c r="B7" s="6" t="inlineStr">
        <is>
          <t>Pfeiffer Vacuum</t>
        </is>
      </c>
      <c r="C7" s="6" t="inlineStr">
        <is>
          <t>Turbomolecular Controller Electronics</t>
        </is>
      </c>
      <c r="D7" s="43" t="n">
        <v>12</v>
      </c>
      <c r="E7" s="43" t="n">
        <v>18</v>
      </c>
      <c r="F7" s="47" t="n">
        <v>0.45</v>
      </c>
      <c r="G7" s="43" t="n">
        <v>4</v>
      </c>
      <c r="H7" s="43" t="n">
        <v>5</v>
      </c>
      <c r="I7" s="33">
        <f>F7*G7*H7</f>
        <v/>
      </c>
      <c r="J7" s="6">
        <f>IF(OR(K7="YES",I7&gt;20),IF(I7&gt;20,"CRITICAL",IF(K7="YES","CRITICAL","HIGH")),IF(I7&gt;8,"HIGH",IF(I7&gt;2,"MODERATE","LOW")))</f>
        <v/>
      </c>
      <c r="K7" s="6" t="inlineStr">
        <is>
          <t>YES</t>
        </is>
      </c>
      <c r="L7" s="6" t="inlineStr">
        <is>
          <t>No</t>
        </is>
      </c>
      <c r="M7" s="8" t="inlineStr">
        <is>
          <t>Controller firmware proprietary; no drop-in alt; request safety stock commitment from supplier</t>
        </is>
      </c>
      <c r="N7" s="6" t="inlineStr">
        <is>
          <t>ESCALATED</t>
        </is>
      </c>
      <c r="O7" s="55" t="inlineStr">
        <is>
          <t>PRG-001</t>
        </is>
      </c>
    </row>
    <row r="8">
      <c r="A8" s="6" t="inlineStr">
        <is>
          <t>EQ-003</t>
        </is>
      </c>
      <c r="B8" s="6" t="inlineStr">
        <is>
          <t>Thermco Systems</t>
        </is>
      </c>
      <c r="C8" s="6" t="inlineStr">
        <is>
          <t>Tube Furnace – Hot Zone Assembly</t>
        </is>
      </c>
      <c r="D8" s="43" t="n">
        <v>18</v>
      </c>
      <c r="E8" s="43" t="n">
        <v>20</v>
      </c>
      <c r="F8" s="47" t="n">
        <v>0.2</v>
      </c>
      <c r="G8" s="43" t="n">
        <v>4</v>
      </c>
      <c r="H8" s="43" t="n">
        <v>3</v>
      </c>
      <c r="I8" s="33">
        <f>F8*G8*H8</f>
        <v/>
      </c>
      <c r="J8" s="6">
        <f>IF(OR(K8="YES",I8&gt;20),IF(I8&gt;20,"CRITICAL",IF(K8="YES","CRITICAL","HIGH")),IF(I8&gt;8,"HIGH",IF(I8&gt;2,"MODERATE","LOW")))</f>
        <v/>
      </c>
      <c r="K8" s="6" t="inlineStr">
        <is>
          <t>No</t>
        </is>
      </c>
      <c r="L8" s="6" t="inlineStr">
        <is>
          <t>No</t>
        </is>
      </c>
      <c r="M8" s="8" t="inlineStr">
        <is>
          <t>BTU International validated as alt; maintain contact; include alt option in RFQ</t>
        </is>
      </c>
      <c r="N8" s="6" t="inlineStr">
        <is>
          <t>MONITORED</t>
        </is>
      </c>
      <c r="O8" s="55" t="inlineStr">
        <is>
          <t>PRG-001</t>
        </is>
      </c>
    </row>
    <row r="9">
      <c r="A9" s="6" t="inlineStr">
        <is>
          <t>EQ-003</t>
        </is>
      </c>
      <c r="B9" s="6" t="inlineStr">
        <is>
          <t>Thermco Systems</t>
        </is>
      </c>
      <c r="C9" s="6" t="inlineStr">
        <is>
          <t>8-Zone Heating Element Set</t>
        </is>
      </c>
      <c r="D9" s="43" t="n">
        <v>10</v>
      </c>
      <c r="E9" s="43" t="n">
        <v>12</v>
      </c>
      <c r="F9" s="47" t="n">
        <v>0.15</v>
      </c>
      <c r="G9" s="43" t="n">
        <v>3</v>
      </c>
      <c r="H9" s="43" t="n">
        <v>2</v>
      </c>
      <c r="I9" s="33">
        <f>F9*G9*H9</f>
        <v/>
      </c>
      <c r="J9" s="6">
        <f>IF(OR(K9="YES",I9&gt;20),IF(I9&gt;20,"CRITICAL",IF(K9="YES","CRITICAL","HIGH")),IF(I9&gt;8,"HIGH",IF(I9&gt;2,"MODERATE","LOW")))</f>
        <v/>
      </c>
      <c r="K9" s="6" t="inlineStr">
        <is>
          <t>No</t>
        </is>
      </c>
      <c r="L9" s="6" t="inlineStr">
        <is>
          <t>Yes</t>
        </is>
      </c>
      <c r="M9" s="8" t="inlineStr">
        <is>
          <t>2-set buffer stock maintained; supplier reliability high; no immediate action required</t>
        </is>
      </c>
      <c r="N9" s="6" t="inlineStr">
        <is>
          <t>OK</t>
        </is>
      </c>
      <c r="O9" s="55" t="inlineStr">
        <is>
          <t>PRG-001</t>
        </is>
      </c>
    </row>
    <row r="10">
      <c r="A10" s="6" t="inlineStr">
        <is>
          <t>EQ-004</t>
        </is>
      </c>
      <c r="B10" s="6" t="inlineStr">
        <is>
          <t>Tokyo Electron (TEL)</t>
        </is>
      </c>
      <c r="C10" s="6" t="inlineStr">
        <is>
          <t>Batch Furnace – Complete System</t>
        </is>
      </c>
      <c r="D10" s="43" t="n">
        <v>20</v>
      </c>
      <c r="E10" s="43" t="n">
        <v>28</v>
      </c>
      <c r="F10" s="47" t="n">
        <v>0.4</v>
      </c>
      <c r="G10" s="43" t="n">
        <v>5</v>
      </c>
      <c r="H10" s="43" t="n">
        <v>4</v>
      </c>
      <c r="I10" s="33">
        <f>F10*G10*H10</f>
        <v/>
      </c>
      <c r="J10" s="6">
        <f>IF(OR(K10="YES",I10&gt;20),IF(I10&gt;20,"CRITICAL",IF(K10="YES","CRITICAL","HIGH")),IF(I10&gt;8,"HIGH",IF(I10&gt;2,"MODERATE","LOW")))</f>
        <v/>
      </c>
      <c r="K10" s="6" t="inlineStr">
        <is>
          <t>No</t>
        </is>
      </c>
      <c r="L10" s="6" t="inlineStr">
        <is>
          <t>No</t>
        </is>
      </c>
      <c r="M10" s="8" t="inlineStr">
        <is>
          <t>JPY FX hedge confirmed; increase FAT scope to 3 weeks; dedicated TEL PM assigned</t>
        </is>
      </c>
      <c r="N10" s="6" t="inlineStr">
        <is>
          <t>IN PROGRESS</t>
        </is>
      </c>
      <c r="O10" s="55" t="inlineStr">
        <is>
          <t>PRG-001</t>
        </is>
      </c>
    </row>
    <row r="11">
      <c r="A11" s="6" t="inlineStr">
        <is>
          <t>EQ-004</t>
        </is>
      </c>
      <c r="B11" s="6" t="inlineStr">
        <is>
          <t>Tokyo Electron (TEL)</t>
        </is>
      </c>
      <c r="C11" s="6" t="inlineStr">
        <is>
          <t>Process Recipe Transfer Package</t>
        </is>
      </c>
      <c r="D11" s="43" t="inlineStr">
        <is>
          <t>N/A</t>
        </is>
      </c>
      <c r="E11" s="43" t="inlineStr">
        <is>
          <t>N/A</t>
        </is>
      </c>
      <c r="F11" s="47" t="n">
        <v>0.3</v>
      </c>
      <c r="G11" s="43" t="n">
        <v>4</v>
      </c>
      <c r="H11" s="43" t="n">
        <v>4</v>
      </c>
      <c r="I11" s="33">
        <f>F11*G11*H11</f>
        <v/>
      </c>
      <c r="J11" s="6">
        <f>IF(OR(K11="YES",I11&gt;20),IF(I11&gt;20,"CRITICAL",IF(K11="YES","CRITICAL","HIGH")),IF(I11&gt;8,"HIGH",IF(I11&gt;2,"MODERATE","LOW")))</f>
        <v/>
      </c>
      <c r="K11" s="6" t="inlineStr">
        <is>
          <t>YES</t>
        </is>
      </c>
      <c r="L11" s="6" t="inlineStr">
        <is>
          <t>No</t>
        </is>
      </c>
      <c r="M11" s="8" t="inlineStr">
        <is>
          <t>Non-tangible risk: recipe IP held by TEL; require contractual data transfer clause at PO stage</t>
        </is>
      </c>
      <c r="N11" s="6" t="inlineStr">
        <is>
          <t>LEGAL REVIEW</t>
        </is>
      </c>
      <c r="O11" s="55" t="inlineStr">
        <is>
          <t>PRG-001</t>
        </is>
      </c>
    </row>
    <row r="12">
      <c r="A12" s="6" t="inlineStr">
        <is>
          <t>EQ-005</t>
        </is>
      </c>
      <c r="B12" s="6" t="inlineStr">
        <is>
          <t>Brooks Automation</t>
        </is>
      </c>
      <c r="C12" s="6" t="inlineStr">
        <is>
          <t>SCARA Robot – Mechanical Assembly</t>
        </is>
      </c>
      <c r="D12" s="43" t="n">
        <v>12</v>
      </c>
      <c r="E12" s="43" t="n">
        <v>14</v>
      </c>
      <c r="F12" s="47" t="n">
        <v>0.15</v>
      </c>
      <c r="G12" s="43" t="n">
        <v>3</v>
      </c>
      <c r="H12" s="43" t="n">
        <v>3</v>
      </c>
      <c r="I12" s="33">
        <f>F12*G12*H12</f>
        <v/>
      </c>
      <c r="J12" s="6">
        <f>IF(OR(K12="YES",I12&gt;20),IF(I12&gt;20,"CRITICAL",IF(K12="YES","CRITICAL","HIGH")),IF(I12&gt;8,"HIGH",IF(I12&gt;2,"MODERATE","LOW")))</f>
        <v/>
      </c>
      <c r="K12" s="6" t="inlineStr">
        <is>
          <t>No</t>
        </is>
      </c>
      <c r="L12" s="6" t="inlineStr">
        <is>
          <t>No</t>
        </is>
      </c>
      <c r="M12" s="8" t="inlineStr">
        <is>
          <t>Brooks delivery historically reliable; no action required; standard monitoring</t>
        </is>
      </c>
      <c r="N12" s="6" t="inlineStr">
        <is>
          <t>OK</t>
        </is>
      </c>
      <c r="O12" s="55" t="inlineStr">
        <is>
          <t>PRG-001</t>
        </is>
      </c>
    </row>
    <row r="13">
      <c r="A13" s="6" t="inlineStr">
        <is>
          <t>EQ-005</t>
        </is>
      </c>
      <c r="B13" s="6" t="inlineStr">
        <is>
          <t>Brooks Automation</t>
        </is>
      </c>
      <c r="C13" s="6" t="inlineStr">
        <is>
          <t>MES Software Integration Module</t>
        </is>
      </c>
      <c r="D13" s="43" t="inlineStr">
        <is>
          <t>N/A</t>
        </is>
      </c>
      <c r="E13" s="43" t="inlineStr">
        <is>
          <t>N/A</t>
        </is>
      </c>
      <c r="F13" s="47" t="n">
        <v>0.45</v>
      </c>
      <c r="G13" s="43" t="n">
        <v>4</v>
      </c>
      <c r="H13" s="43" t="n">
        <v>4</v>
      </c>
      <c r="I13" s="33">
        <f>F13*G13*H13</f>
        <v/>
      </c>
      <c r="J13" s="6">
        <f>IF(OR(K13="YES",I13&gt;20),IF(I13&gt;20,"CRITICAL",IF(K13="YES","CRITICAL","HIGH")),IF(I13&gt;8,"HIGH",IF(I13&gt;2,"MODERATE","LOW")))</f>
        <v/>
      </c>
      <c r="K13" s="6" t="inlineStr">
        <is>
          <t>YES</t>
        </is>
      </c>
      <c r="L13" s="6" t="inlineStr">
        <is>
          <t>No</t>
        </is>
      </c>
      <c r="M13" s="8" t="inlineStr">
        <is>
          <t>Integration complexity risk — not supply risk; assign Brooks SW engineer on-site 4 wks pre-FAT</t>
        </is>
      </c>
      <c r="N13" s="6" t="inlineStr">
        <is>
          <t>IN PROGRESS</t>
        </is>
      </c>
      <c r="O13" s="55" t="inlineStr">
        <is>
          <t>PRG-001</t>
        </is>
      </c>
    </row>
    <row r="14">
      <c r="A14" s="6" t="inlineStr">
        <is>
          <t>EQ-006</t>
        </is>
      </c>
      <c r="B14" s="6" t="inlineStr">
        <is>
          <t>Daifuku</t>
        </is>
      </c>
      <c r="C14" s="6" t="inlineStr">
        <is>
          <t>Overhead Track System – Civil Interface</t>
        </is>
      </c>
      <c r="D14" s="43" t="n">
        <v>22</v>
      </c>
      <c r="E14" s="43" t="n">
        <v>30</v>
      </c>
      <c r="F14" s="47" t="n">
        <v>0.5</v>
      </c>
      <c r="G14" s="43" t="n">
        <v>4</v>
      </c>
      <c r="H14" s="43" t="n">
        <v>5</v>
      </c>
      <c r="I14" s="33">
        <f>F14*G14*H14</f>
        <v/>
      </c>
      <c r="J14" s="6">
        <f>IF(OR(K14="YES",I14&gt;20),IF(I14&gt;20,"CRITICAL",IF(K14="YES","CRITICAL","HIGH")),IF(I14&gt;8,"HIGH",IF(I14&gt;2,"MODERATE","LOW")))</f>
        <v/>
      </c>
      <c r="K14" s="6" t="inlineStr">
        <is>
          <t>YES</t>
        </is>
      </c>
      <c r="L14" s="6" t="inlineStr">
        <is>
          <t>No</t>
        </is>
      </c>
      <c r="M14" s="8" t="inlineStr">
        <is>
          <t>Civil drawings required 8 wks pre-install; freeze layout by Week 6; no alt track supplier</t>
        </is>
      </c>
      <c r="N14" s="6" t="inlineStr">
        <is>
          <t>ESCALATED</t>
        </is>
      </c>
      <c r="O14" s="55" t="inlineStr">
        <is>
          <t>PRG-001</t>
        </is>
      </c>
    </row>
    <row r="15">
      <c r="A15" s="6" t="inlineStr">
        <is>
          <t>EQ-007</t>
        </is>
      </c>
      <c r="B15" s="6" t="inlineStr">
        <is>
          <t>Air Liquide Eng.</t>
        </is>
      </c>
      <c r="C15" s="6" t="inlineStr">
        <is>
          <t>Gas Cabinet – Complete Assembly</t>
        </is>
      </c>
      <c r="D15" s="43" t="n">
        <v>16</v>
      </c>
      <c r="E15" s="43" t="n">
        <v>22</v>
      </c>
      <c r="F15" s="47" t="n">
        <v>0.4</v>
      </c>
      <c r="G15" s="43" t="n">
        <v>3</v>
      </c>
      <c r="H15" s="43" t="n">
        <v>3</v>
      </c>
      <c r="I15" s="33">
        <f>F15*G15*H15</f>
        <v/>
      </c>
      <c r="J15" s="6">
        <f>IF(OR(K15="YES",I15&gt;20),IF(I15&gt;20,"CRITICAL",IF(K15="YES","CRITICAL","HIGH")),IF(I15&gt;8,"HIGH",IF(I15&gt;2,"MODERATE","LOW")))</f>
        <v/>
      </c>
      <c r="K15" s="6" t="inlineStr">
        <is>
          <t>No</t>
        </is>
      </c>
      <c r="L15" s="6" t="inlineStr">
        <is>
          <t>No</t>
        </is>
      </c>
      <c r="M15" s="8" t="inlineStr">
        <is>
          <t>Quote under negotiation; delay increases if PO not placed by target date; expedite sourcing decision</t>
        </is>
      </c>
      <c r="N15" s="6" t="inlineStr">
        <is>
          <t>IN PROGRESS</t>
        </is>
      </c>
      <c r="O15" s="55" t="inlineStr">
        <is>
          <t>PRG-001</t>
        </is>
      </c>
    </row>
    <row r="16">
      <c r="A16" s="6" t="inlineStr">
        <is>
          <t>EQ-007</t>
        </is>
      </c>
      <c r="B16" s="6" t="inlineStr">
        <is>
          <t>Air Liquide Eng.</t>
        </is>
      </c>
      <c r="C16" s="6" t="inlineStr">
        <is>
          <t>Hazmat Permit – Regulatory</t>
        </is>
      </c>
      <c r="D16" s="43" t="inlineStr">
        <is>
          <t>N/A</t>
        </is>
      </c>
      <c r="E16" s="43" t="inlineStr">
        <is>
          <t>N/A</t>
        </is>
      </c>
      <c r="F16" s="47" t="n">
        <v>0.35</v>
      </c>
      <c r="G16" s="43" t="n">
        <v>5</v>
      </c>
      <c r="H16" s="43" t="n">
        <v>5</v>
      </c>
      <c r="I16" s="33">
        <f>F16*G16*H16</f>
        <v/>
      </c>
      <c r="J16" s="6">
        <f>IF(OR(K16="YES",I16&gt;20),IF(I16&gt;20,"CRITICAL",IF(K16="YES","CRITICAL","HIGH")),IF(I16&gt;8,"HIGH",IF(I16&gt;2,"MODERATE","LOW")))</f>
        <v/>
      </c>
      <c r="K16" s="6" t="inlineStr">
        <is>
          <t>YES</t>
        </is>
      </c>
      <c r="L16" s="6" t="inlineStr">
        <is>
          <t>No</t>
        </is>
      </c>
      <c r="M16" s="8" t="inlineStr">
        <is>
          <t>Permit lead time 8-12 wks; submit application immediately; failure impacts entire gas system install</t>
        </is>
      </c>
      <c r="N16" s="6" t="inlineStr">
        <is>
          <t>ACTION REQ'D</t>
        </is>
      </c>
      <c r="O16" s="55" t="inlineStr">
        <is>
          <t>PRG-001</t>
        </is>
      </c>
    </row>
    <row r="17">
      <c r="A17" s="6" t="inlineStr">
        <is>
          <t>EQ-008</t>
        </is>
      </c>
      <c r="B17" s="6" t="inlineStr">
        <is>
          <t>Linde Engineering</t>
        </is>
      </c>
      <c r="C17" s="6" t="inlineStr">
        <is>
          <t>Bulk Gas Storage Vessel</t>
        </is>
      </c>
      <c r="D17" s="43" t="n">
        <v>24</v>
      </c>
      <c r="E17" s="43" t="n">
        <v>32</v>
      </c>
      <c r="F17" s="47" t="n">
        <v>0.35</v>
      </c>
      <c r="G17" s="43" t="n">
        <v>4</v>
      </c>
      <c r="H17" s="43" t="n">
        <v>3</v>
      </c>
      <c r="I17" s="33">
        <f>F17*G17*H17</f>
        <v/>
      </c>
      <c r="J17" s="6">
        <f>IF(OR(K17="YES",I17&gt;20),IF(I17&gt;20,"CRITICAL",IF(K17="YES","CRITICAL","HIGH")),IF(I17&gt;8,"HIGH",IF(I17&gt;2,"MODERATE","LOW")))</f>
        <v/>
      </c>
      <c r="K17" s="6" t="inlineStr">
        <is>
          <t>No</t>
        </is>
      </c>
      <c r="L17" s="6" t="inlineStr">
        <is>
          <t>No</t>
        </is>
      </c>
      <c r="M17" s="8" t="inlineStr">
        <is>
          <t>Long-lead vessel; PO must be placed by program Week 4; civil pad work parallel path</t>
        </is>
      </c>
      <c r="N17" s="6" t="inlineStr">
        <is>
          <t>IN PROGRESS</t>
        </is>
      </c>
      <c r="O17" s="55" t="inlineStr">
        <is>
          <t>PRG-001</t>
        </is>
      </c>
    </row>
    <row r="18">
      <c r="A18" s="6" t="inlineStr">
        <is>
          <t>EQ-009</t>
        </is>
      </c>
      <c r="B18" s="6" t="inlineStr">
        <is>
          <t>Siemens AG</t>
        </is>
      </c>
      <c r="C18" s="6" t="inlineStr">
        <is>
          <t>S7-1500 PLC Hardware Set</t>
        </is>
      </c>
      <c r="D18" s="43" t="n">
        <v>10</v>
      </c>
      <c r="E18" s="43" t="n">
        <v>14</v>
      </c>
      <c r="F18" s="47" t="n">
        <v>0.15</v>
      </c>
      <c r="G18" s="43" t="n">
        <v>2</v>
      </c>
      <c r="H18" s="43" t="n">
        <v>2</v>
      </c>
      <c r="I18" s="33">
        <f>F18*G18*H18</f>
        <v/>
      </c>
      <c r="J18" s="6">
        <f>IF(OR(K18="YES",I18&gt;20),IF(I18&gt;20,"CRITICAL",IF(K18="YES","CRITICAL","HIGH")),IF(I18&gt;8,"HIGH",IF(I18&gt;2,"MODERATE","LOW")))</f>
        <v/>
      </c>
      <c r="K18" s="6" t="inlineStr">
        <is>
          <t>No</t>
        </is>
      </c>
      <c r="L18" s="6" t="inlineStr">
        <is>
          <t>Yes</t>
        </is>
      </c>
      <c r="M18" s="8" t="inlineStr">
        <is>
          <t>Strong supply reliability; buffer stock of 1 spare CPU maintained; low risk</t>
        </is>
      </c>
      <c r="N18" s="6" t="inlineStr">
        <is>
          <t>OK</t>
        </is>
      </c>
      <c r="O18" s="55" t="inlineStr">
        <is>
          <t>PRG-001</t>
        </is>
      </c>
    </row>
    <row r="19">
      <c r="A19" s="6" t="inlineStr">
        <is>
          <t>EQ-009</t>
        </is>
      </c>
      <c r="B19" s="6" t="inlineStr">
        <is>
          <t>Siemens AG</t>
        </is>
      </c>
      <c r="C19" s="6" t="inlineStr">
        <is>
          <t>Cybersecurity Compliance Review</t>
        </is>
      </c>
      <c r="D19" s="43" t="inlineStr">
        <is>
          <t>N/A</t>
        </is>
      </c>
      <c r="E19" s="43" t="inlineStr">
        <is>
          <t>N/A</t>
        </is>
      </c>
      <c r="F19" s="47" t="n">
        <v>0.25</v>
      </c>
      <c r="G19" s="43" t="n">
        <v>3</v>
      </c>
      <c r="H19" s="43" t="n">
        <v>3</v>
      </c>
      <c r="I19" s="33">
        <f>F19*G19*H19</f>
        <v/>
      </c>
      <c r="J19" s="6">
        <f>IF(OR(K19="YES",I19&gt;20),IF(I19&gt;20,"CRITICAL",IF(K19="YES","CRITICAL","HIGH")),IF(I19&gt;8,"HIGH",IF(I19&gt;2,"MODERATE","LOW")))</f>
        <v/>
      </c>
      <c r="K19" s="6" t="inlineStr">
        <is>
          <t>YES</t>
        </is>
      </c>
      <c r="L19" s="6" t="inlineStr">
        <is>
          <t>No</t>
        </is>
      </c>
      <c r="M19" s="8" t="inlineStr">
        <is>
          <t>Internal InfoSec review adds 3 wks; submit documentation package 6 wks pre-installation</t>
        </is>
      </c>
      <c r="N19" s="6" t="inlineStr">
        <is>
          <t>IN PROGRESS</t>
        </is>
      </c>
      <c r="O19" s="55" t="inlineStr">
        <is>
          <t>PRG-001</t>
        </is>
      </c>
    </row>
    <row r="20">
      <c r="A20" s="6" t="inlineStr">
        <is>
          <t>EQ-011</t>
        </is>
      </c>
      <c r="B20" s="6" t="inlineStr">
        <is>
          <t>ABB Ltd</t>
        </is>
      </c>
      <c r="C20" s="6" t="inlineStr">
        <is>
          <t>2 MVA Dry-Type Transformer</t>
        </is>
      </c>
      <c r="D20" s="43" t="n">
        <v>14</v>
      </c>
      <c r="E20" s="43" t="n">
        <v>20</v>
      </c>
      <c r="F20" s="47" t="n">
        <v>0.25</v>
      </c>
      <c r="G20" s="43" t="n">
        <v>4</v>
      </c>
      <c r="H20" s="43" t="n">
        <v>3</v>
      </c>
      <c r="I20" s="33">
        <f>F20*G20*H20</f>
        <v/>
      </c>
      <c r="J20" s="6">
        <f>IF(OR(K20="YES",I20&gt;20),IF(I20&gt;20,"CRITICAL",IF(K20="YES","CRITICAL","HIGH")),IF(I20&gt;8,"HIGH",IF(I20&gt;2,"MODERATE","LOW")))</f>
        <v/>
      </c>
      <c r="K20" s="6" t="inlineStr">
        <is>
          <t>No</t>
        </is>
      </c>
      <c r="L20" s="6" t="inlineStr">
        <is>
          <t>No</t>
        </is>
      </c>
      <c r="M20" s="8" t="inlineStr">
        <is>
          <t>Reuse of legacy unit partially mitigates; new unit on order; monitor delivery</t>
        </is>
      </c>
      <c r="N20" s="6" t="inlineStr">
        <is>
          <t>MONITORED</t>
        </is>
      </c>
      <c r="O20" s="55" t="inlineStr">
        <is>
          <t>PRG-001</t>
        </is>
      </c>
    </row>
    <row r="21">
      <c r="A21" s="6" t="inlineStr">
        <is>
          <t>EQ-012</t>
        </is>
      </c>
      <c r="B21" s="6" t="inlineStr">
        <is>
          <t>Daikin Applied</t>
        </is>
      </c>
      <c r="C21" s="6" t="inlineStr">
        <is>
          <t>Chiller – Complete Package</t>
        </is>
      </c>
      <c r="D21" s="43" t="n">
        <v>16</v>
      </c>
      <c r="E21" s="43" t="n">
        <v>20</v>
      </c>
      <c r="F21" s="47" t="n">
        <v>0.2</v>
      </c>
      <c r="G21" s="43" t="n">
        <v>3</v>
      </c>
      <c r="H21" s="43" t="n">
        <v>2</v>
      </c>
      <c r="I21" s="33">
        <f>F21*G21*H21</f>
        <v/>
      </c>
      <c r="J21" s="6">
        <f>IF(OR(K21="YES",I21&gt;20),IF(I21&gt;20,"CRITICAL",IF(K21="YES","CRITICAL","HIGH")),IF(I21&gt;8,"HIGH",IF(I21&gt;2,"MODERATE","LOW")))</f>
        <v/>
      </c>
      <c r="K21" s="6" t="inlineStr">
        <is>
          <t>No</t>
        </is>
      </c>
      <c r="L21" s="6" t="inlineStr">
        <is>
          <t>No</t>
        </is>
      </c>
      <c r="M21" s="8" t="inlineStr">
        <is>
          <t>Glycol loop interface design must be finalized prior to FAT; coordinate with mechanical team</t>
        </is>
      </c>
      <c r="N21" s="6" t="inlineStr">
        <is>
          <t>IN PROGRESS</t>
        </is>
      </c>
      <c r="O21" s="55" t="inlineStr">
        <is>
          <t>PRG-001</t>
        </is>
      </c>
    </row>
    <row r="22">
      <c r="A22" s="6" t="inlineStr">
        <is>
          <t>EQ-014</t>
        </is>
      </c>
      <c r="B22" s="6" t="inlineStr">
        <is>
          <t>Applied Materials</t>
        </is>
      </c>
      <c r="C22" s="6" t="inlineStr">
        <is>
          <t>RTP Tool – Complete System</t>
        </is>
      </c>
      <c r="D22" s="43" t="n">
        <v>20</v>
      </c>
      <c r="E22" s="43" t="n">
        <v>24</v>
      </c>
      <c r="F22" s="47" t="n">
        <v>0.25</v>
      </c>
      <c r="G22" s="43" t="n">
        <v>5</v>
      </c>
      <c r="H22" s="43" t="n">
        <v>4</v>
      </c>
      <c r="I22" s="33">
        <f>F22*G22*H22</f>
        <v/>
      </c>
      <c r="J22" s="6">
        <f>IF(OR(K22="YES",I22&gt;20),IF(I22&gt;20,"CRITICAL",IF(K22="YES","CRITICAL","HIGH")),IF(I22&gt;8,"HIGH",IF(I22&gt;2,"MODERATE","LOW")))</f>
        <v/>
      </c>
      <c r="K22" s="6" t="inlineStr">
        <is>
          <t>No</t>
        </is>
      </c>
      <c r="L22" s="6" t="inlineStr">
        <is>
          <t>No</t>
        </is>
      </c>
      <c r="M22" s="8" t="inlineStr">
        <is>
          <t>Highest-value item; AMAT requires 30% deposit at PO; finance pre-approval gate required</t>
        </is>
      </c>
      <c r="N22" s="6" t="inlineStr">
        <is>
          <t>ACTION REQ'D</t>
        </is>
      </c>
      <c r="O22" s="55" t="inlineStr">
        <is>
          <t>PRG-001</t>
        </is>
      </c>
    </row>
    <row r="23">
      <c r="A23" s="6" t="inlineStr">
        <is>
          <t>EQ-015</t>
        </is>
      </c>
      <c r="B23" s="6" t="inlineStr">
        <is>
          <t>MiR (Mobile Industrial Robots)</t>
        </is>
      </c>
      <c r="C23" s="6" t="inlineStr">
        <is>
          <t>AMR Fleet – 10 Units</t>
        </is>
      </c>
      <c r="D23" s="43" t="n">
        <v>14</v>
      </c>
      <c r="E23" s="43" t="n">
        <v>18</v>
      </c>
      <c r="F23" s="47" t="n">
        <v>0.3</v>
      </c>
      <c r="G23" s="43" t="n">
        <v>2</v>
      </c>
      <c r="H23" s="43" t="n">
        <v>2</v>
      </c>
      <c r="I23" s="33">
        <f>F23*G23*H23</f>
        <v/>
      </c>
      <c r="J23" s="6">
        <f>IF(OR(K23="YES",I23&gt;20),IF(I23&gt;20,"CRITICAL",IF(K23="YES","CRITICAL","HIGH")),IF(I23&gt;8,"HIGH",IF(I23&gt;2,"MODERATE","LOW")))</f>
        <v/>
      </c>
      <c r="K23" s="6" t="inlineStr">
        <is>
          <t>No</t>
        </is>
      </c>
      <c r="L23" s="6" t="inlineStr">
        <is>
          <t>No</t>
        </is>
      </c>
      <c r="M23" s="8" t="inlineStr">
        <is>
          <t>Wi-Fi infrastructure survey required 6 wks pre-delivery; coordinate with IT/OT team</t>
        </is>
      </c>
      <c r="N23" s="6" t="inlineStr">
        <is>
          <t>MONITORED</t>
        </is>
      </c>
      <c r="O23" s="55" t="inlineStr">
        <is>
          <t>PRG-001</t>
        </is>
      </c>
    </row>
    <row r="26" ht="18" customHeight="1">
      <c r="A26" s="83" t="inlineStr">
        <is>
          <t>SUPPLY CHAIN RISK HEATMAP SUMMARY — PRG-001 Greenfield Expansion Phase II</t>
        </is>
      </c>
    </row>
    <row r="27" ht="30" customHeight="1">
      <c r="A27" s="84" t="inlineStr">
        <is>
          <t>Risk Tier</t>
        </is>
      </c>
      <c r="B27" s="84" t="inlineStr">
        <is>
          <t>Count</t>
        </is>
      </c>
      <c r="C27" s="84" t="inlineStr">
        <is>
          <t>% of Items</t>
        </is>
      </c>
      <c r="D27" s="84" t="inlineStr">
        <is>
          <t>Action Required</t>
        </is>
      </c>
    </row>
    <row r="28">
      <c r="A28" s="73" t="inlineStr">
        <is>
          <t>CRITICAL</t>
        </is>
      </c>
      <c r="B28" s="6">
        <f>COUNTIF(J5:J23,A28)</f>
        <v/>
      </c>
      <c r="C28" s="32">
        <f>B28/19</f>
        <v/>
      </c>
      <c r="D28" s="8" t="inlineStr">
        <is>
          <t>Immediate VP-level escalation; daily status; dedicated mitigation team</t>
        </is>
      </c>
    </row>
    <row r="29">
      <c r="A29" s="73" t="inlineStr">
        <is>
          <t>HIGH</t>
        </is>
      </c>
      <c r="B29" s="6">
        <f>COUNTIF(J5:J23,A29)</f>
        <v/>
      </c>
      <c r="C29" s="32">
        <f>B29/19</f>
        <v/>
      </c>
      <c r="D29" s="8" t="inlineStr">
        <is>
          <t>Weekly executive review; mitigation plan required within 5 business days</t>
        </is>
      </c>
    </row>
    <row r="30">
      <c r="A30" s="46" t="inlineStr">
        <is>
          <t>MODERATE</t>
        </is>
      </c>
      <c r="B30" s="6">
        <f>COUNTIF(J5:J23,A30)</f>
        <v/>
      </c>
      <c r="C30" s="32">
        <f>B30/19</f>
        <v/>
      </c>
      <c r="D30" s="8" t="inlineStr">
        <is>
          <t>Bi-weekly review; mitigation plan in place; monitor for deterioration</t>
        </is>
      </c>
    </row>
    <row r="31">
      <c r="A31" s="40" t="inlineStr">
        <is>
          <t>LOW</t>
        </is>
      </c>
      <c r="B31" s="6">
        <f>COUNTIF(J5:J23,A31)</f>
        <v/>
      </c>
      <c r="C31" s="32">
        <f>B31/19</f>
        <v/>
      </c>
      <c r="D31" s="8" t="inlineStr">
        <is>
          <t>Standard monitoring; quarterly supplier check-in sufficient</t>
        </is>
      </c>
    </row>
    <row r="33" ht="18" customHeight="1">
      <c r="A33" s="83" t="inlineStr">
        <is>
          <t>AGGREGATE RISK STATISTICS — PRG-001 Greenfield Expansion Phase II</t>
        </is>
      </c>
    </row>
    <row r="34">
      <c r="A34" s="6" t="inlineStr">
        <is>
          <t>Total Components Tracked</t>
        </is>
      </c>
      <c r="B34" s="51">
        <f>COUNTA(A5:A23)</f>
        <v/>
      </c>
    </row>
    <row r="35">
      <c r="A35" s="6" t="inlineStr">
        <is>
          <t>Single-Source Components</t>
        </is>
      </c>
      <c r="B35" s="51">
        <f>COUNTIF(K5:K23,"YES")</f>
        <v/>
      </c>
    </row>
    <row r="36">
      <c r="A36" s="6" t="inlineStr">
        <is>
          <t>Avg Composite Risk Score</t>
        </is>
      </c>
      <c r="B36" s="51">
        <f>AVERAGE(I5:I23)</f>
        <v/>
      </c>
    </row>
    <row r="37">
      <c r="A37" s="6" t="inlineStr">
        <is>
          <t>Max Risk Score (Worst Item)</t>
        </is>
      </c>
      <c r="B37" s="51">
        <f>MAX(I5:I23)</f>
        <v/>
      </c>
    </row>
    <row r="38">
      <c r="A38" s="6" t="inlineStr">
        <is>
          <t>CRITICAL Tier Items</t>
        </is>
      </c>
      <c r="B38" s="51">
        <f>COUNTIF(J5:J23,"CRITICAL")</f>
        <v/>
      </c>
    </row>
    <row r="39">
      <c r="A39" s="6" t="inlineStr">
        <is>
          <t>HIGH Tier Items</t>
        </is>
      </c>
      <c r="B39" s="51">
        <f>COUNTIF(J5:J23,"HIGH")</f>
        <v/>
      </c>
    </row>
    <row r="41" ht="18" customHeight="1">
      <c r="A41" s="83" t="inlineStr">
        <is>
          <t>PRG-002 RISK REGISTER — Riverside Automation Upgrade Phase I</t>
        </is>
      </c>
    </row>
    <row r="42" ht="30" customHeight="1">
      <c r="A42" s="84" t="inlineStr">
        <is>
          <t>Equip Ref</t>
        </is>
      </c>
      <c r="B42" s="84" t="inlineStr">
        <is>
          <t>Supplier</t>
        </is>
      </c>
      <c r="C42" s="84" t="inlineStr">
        <is>
          <t>Component / Sub-System</t>
        </is>
      </c>
      <c r="D42" s="84" t="inlineStr">
        <is>
          <t>Std Lead (wks)</t>
        </is>
      </c>
      <c r="E42" s="84" t="inlineStr">
        <is>
          <t>Current Lead (wks)</t>
        </is>
      </c>
      <c r="F42" s="84" t="inlineStr">
        <is>
          <t>Delay Prob. (0-1)</t>
        </is>
      </c>
      <c r="G42" s="84" t="inlineStr">
        <is>
          <t>Sched. Impact (1-5)</t>
        </is>
      </c>
      <c r="H42" s="84" t="inlineStr">
        <is>
          <t>Replace Difficulty (1-5)</t>
        </is>
      </c>
      <c r="I42" s="84" t="inlineStr">
        <is>
          <t>Composite Risk Score</t>
        </is>
      </c>
      <c r="J42" s="84" t="inlineStr">
        <is>
          <t>Risk Tier</t>
        </is>
      </c>
      <c r="K42" s="84" t="inlineStr">
        <is>
          <t>Single Source?</t>
        </is>
      </c>
      <c r="L42" s="84" t="inlineStr">
        <is>
          <t>Buffer Stock?</t>
        </is>
      </c>
      <c r="M42" s="84" t="inlineStr">
        <is>
          <t>Mitigation Action</t>
        </is>
      </c>
      <c r="N42" s="84" t="inlineStr">
        <is>
          <t>Status</t>
        </is>
      </c>
      <c r="O42" s="84" t="inlineStr">
        <is>
          <t>Program ID</t>
        </is>
      </c>
    </row>
    <row r="43">
      <c r="A43" s="6" t="inlineStr">
        <is>
          <t>RV-001</t>
        </is>
      </c>
      <c r="B43" s="6" t="inlineStr">
        <is>
          <t>Fanuc America</t>
        </is>
      </c>
      <c r="C43" s="6" t="inlineStr">
        <is>
          <t>Palletizing Robot – Complete Unit</t>
        </is>
      </c>
      <c r="D43" s="43" t="n">
        <v>10</v>
      </c>
      <c r="E43" s="43" t="n">
        <v>12</v>
      </c>
      <c r="F43" s="47" t="n">
        <v>0.15</v>
      </c>
      <c r="G43" s="43" t="n">
        <v>2</v>
      </c>
      <c r="H43" s="43" t="n">
        <v>2</v>
      </c>
      <c r="I43" s="33">
        <f>F43*G43*H43</f>
        <v/>
      </c>
      <c r="J43" s="6">
        <f>IF(OR(K43="YES",I43&gt;20),IF(I43&gt;20,"CRITICAL",IF(K43="YES","CRITICAL","HIGH")),IF(I43&gt;8,"HIGH",IF(I43&gt;2,"MODERATE","LOW")))</f>
        <v/>
      </c>
      <c r="K43" s="6" t="inlineStr">
        <is>
          <t>No</t>
        </is>
      </c>
      <c r="L43" s="6" t="inlineStr">
        <is>
          <t>No</t>
        </is>
      </c>
      <c r="M43" s="8" t="inlineStr">
        <is>
          <t>Standard robot platform; low risk; monitor delivery per standard cadence</t>
        </is>
      </c>
      <c r="N43" s="6" t="inlineStr">
        <is>
          <t>OK</t>
        </is>
      </c>
      <c r="O43" s="55" t="inlineStr">
        <is>
          <t>PRG-002</t>
        </is>
      </c>
    </row>
    <row r="44">
      <c r="A44" s="6" t="inlineStr">
        <is>
          <t>RV-002</t>
        </is>
      </c>
      <c r="B44" s="6" t="inlineStr">
        <is>
          <t>Krones AG</t>
        </is>
      </c>
      <c r="C44" s="6" t="inlineStr">
        <is>
          <t>Cartoning System – Complete Unit</t>
        </is>
      </c>
      <c r="D44" s="43" t="n">
        <v>20</v>
      </c>
      <c r="E44" s="43" t="n">
        <v>24</v>
      </c>
      <c r="F44" s="47" t="n">
        <v>0.3</v>
      </c>
      <c r="G44" s="43" t="n">
        <v>4</v>
      </c>
      <c r="H44" s="43" t="n">
        <v>4</v>
      </c>
      <c r="I44" s="33">
        <f>F44*G44*H44</f>
        <v/>
      </c>
      <c r="J44" s="6">
        <f>IF(OR(K44="YES",I44&gt;20),IF(I44&gt;20,"CRITICAL",IF(K44="YES","CRITICAL","HIGH")),IF(I44&gt;8,"HIGH",IF(I44&gt;2,"MODERATE","LOW")))</f>
        <v/>
      </c>
      <c r="K44" s="6" t="inlineStr">
        <is>
          <t>YES</t>
        </is>
      </c>
      <c r="L44" s="6" t="inlineStr">
        <is>
          <t>No</t>
        </is>
      </c>
      <c r="M44" s="8" t="inlineStr">
        <is>
          <t>Single-source specialized tech; no qualified alt; monitor delivery weekly during build</t>
        </is>
      </c>
      <c r="N44" s="6" t="inlineStr">
        <is>
          <t>IN PROGRESS</t>
        </is>
      </c>
      <c r="O44" s="55" t="inlineStr">
        <is>
          <t>PRG-002</t>
        </is>
      </c>
    </row>
    <row r="45">
      <c r="A45" s="6" t="inlineStr">
        <is>
          <t>RV-003</t>
        </is>
      </c>
      <c r="B45" s="6" t="inlineStr">
        <is>
          <t>Fetch Robotics</t>
        </is>
      </c>
      <c r="C45" s="6" t="inlineStr">
        <is>
          <t>AGV Fleet – Complete Units</t>
        </is>
      </c>
      <c r="D45" s="43" t="n">
        <v>8</v>
      </c>
      <c r="E45" s="43" t="n">
        <v>9</v>
      </c>
      <c r="F45" s="47" t="n">
        <v>0.1</v>
      </c>
      <c r="G45" s="43" t="n">
        <v>2</v>
      </c>
      <c r="H45" s="43" t="n">
        <v>1</v>
      </c>
      <c r="I45" s="33">
        <f>F45*G45*H45</f>
        <v/>
      </c>
      <c r="J45" s="6">
        <f>IF(OR(K45="YES",I45&gt;20),IF(I45&gt;20,"CRITICAL",IF(K45="YES","CRITICAL","HIGH")),IF(I45&gt;8,"HIGH",IF(I45&gt;2,"MODERATE","LOW")))</f>
        <v/>
      </c>
      <c r="K45" s="6" t="inlineStr">
        <is>
          <t>No</t>
        </is>
      </c>
      <c r="L45" s="6" t="inlineStr">
        <is>
          <t>No</t>
        </is>
      </c>
      <c r="M45" s="8" t="inlineStr">
        <is>
          <t>Mature platform; low supply risk; standard monitoring</t>
        </is>
      </c>
      <c r="N45" s="6" t="inlineStr">
        <is>
          <t>OK</t>
        </is>
      </c>
      <c r="O45" s="55" t="inlineStr">
        <is>
          <t>PRG-002</t>
        </is>
      </c>
    </row>
    <row r="46">
      <c r="A46" s="6" t="inlineStr">
        <is>
          <t>RV-004</t>
        </is>
      </c>
      <c r="B46" s="6" t="inlineStr">
        <is>
          <t>Cognex Corporation</t>
        </is>
      </c>
      <c r="C46" s="6" t="inlineStr">
        <is>
          <t>Vision Inspection – Complete Units</t>
        </is>
      </c>
      <c r="D46" s="43" t="n">
        <v>6</v>
      </c>
      <c r="E46" s="43" t="n">
        <v>7</v>
      </c>
      <c r="F46" s="47" t="n">
        <v>0.1</v>
      </c>
      <c r="G46" s="43" t="n">
        <v>2</v>
      </c>
      <c r="H46" s="43" t="n">
        <v>1</v>
      </c>
      <c r="I46" s="33">
        <f>F46*G46*H46</f>
        <v/>
      </c>
      <c r="J46" s="6">
        <f>IF(OR(K46="YES",I46&gt;20),IF(I46&gt;20,"CRITICAL",IF(K46="YES","CRITICAL","HIGH")),IF(I46&gt;8,"HIGH",IF(I46&gt;2,"MODERATE","LOW")))</f>
        <v/>
      </c>
      <c r="K46" s="6" t="inlineStr">
        <is>
          <t>No</t>
        </is>
      </c>
      <c r="L46" s="6" t="inlineStr">
        <is>
          <t>Yes</t>
        </is>
      </c>
      <c r="M46" s="8" t="inlineStr">
        <is>
          <t>Commodity vision hardware; Keyence pre-qualified alt on file</t>
        </is>
      </c>
      <c r="N46" s="6" t="inlineStr">
        <is>
          <t>OK</t>
        </is>
      </c>
      <c r="O46" s="55" t="inlineStr">
        <is>
          <t>PRG-002</t>
        </is>
      </c>
    </row>
    <row r="47">
      <c r="A47" s="6" t="inlineStr">
        <is>
          <t>RV-005</t>
        </is>
      </c>
      <c r="B47" s="6" t="inlineStr">
        <is>
          <t>Rockwell Automation</t>
        </is>
      </c>
      <c r="C47" s="6" t="inlineStr">
        <is>
          <t>WCS Integration – Software/Hardware</t>
        </is>
      </c>
      <c r="D47" s="43" t="n">
        <v>8</v>
      </c>
      <c r="E47" s="43" t="n">
        <v>9</v>
      </c>
      <c r="F47" s="47" t="n">
        <v>0.2</v>
      </c>
      <c r="G47" s="43" t="n">
        <v>3</v>
      </c>
      <c r="H47" s="43" t="n">
        <v>2</v>
      </c>
      <c r="I47" s="33">
        <f>F47*G47*H47</f>
        <v/>
      </c>
      <c r="J47" s="6">
        <f>IF(OR(K47="YES",I47&gt;20),IF(I47&gt;20,"CRITICAL",IF(K47="YES","CRITICAL","HIGH")),IF(I47&gt;8,"HIGH",IF(I47&gt;2,"MODERATE","LOW")))</f>
        <v/>
      </c>
      <c r="K47" s="6" t="inlineStr">
        <is>
          <t>No</t>
        </is>
      </c>
      <c r="L47" s="6" t="inlineStr">
        <is>
          <t>No</t>
        </is>
      </c>
      <c r="M47" s="8" t="inlineStr">
        <is>
          <t>Standard PlantPAx platform; integrator has strong track record</t>
        </is>
      </c>
      <c r="N47" s="6" t="inlineStr">
        <is>
          <t>MONITORED</t>
        </is>
      </c>
      <c r="O47" s="55" t="inlineStr">
        <is>
          <t>PRG-002</t>
        </is>
      </c>
    </row>
    <row r="48">
      <c r="A48" s="6" t="inlineStr">
        <is>
          <t>RV-006</t>
        </is>
      </c>
      <c r="B48" s="6" t="inlineStr">
        <is>
          <t>Dematic Corp</t>
        </is>
      </c>
      <c r="C48" s="6" t="inlineStr">
        <is>
          <t>Conveyor &amp; Sortation – Complete System</t>
        </is>
      </c>
      <c r="D48" s="43" t="n">
        <v>16</v>
      </c>
      <c r="E48" s="43" t="n">
        <v>20</v>
      </c>
      <c r="F48" s="47" t="n">
        <v>0.25</v>
      </c>
      <c r="G48" s="43" t="n">
        <v>3</v>
      </c>
      <c r="H48" s="43" t="n">
        <v>3</v>
      </c>
      <c r="I48" s="33">
        <f>F48*G48*H48</f>
        <v/>
      </c>
      <c r="J48" s="6">
        <f>IF(OR(K48="YES",I48&gt;20),IF(I48&gt;20,"CRITICAL",IF(K48="YES","CRITICAL","HIGH")),IF(I48&gt;8,"HIGH",IF(I48&gt;2,"MODERATE","LOW")))</f>
        <v/>
      </c>
      <c r="K48" s="6" t="inlineStr">
        <is>
          <t>No</t>
        </is>
      </c>
      <c r="L48" s="6" t="inlineStr">
        <is>
          <t>No</t>
        </is>
      </c>
      <c r="M48" s="8" t="inlineStr">
        <is>
          <t>Complex site-specific integration; phased cutover plan mitigates schedule risk</t>
        </is>
      </c>
      <c r="N48" s="6" t="inlineStr">
        <is>
          <t>MONITORED</t>
        </is>
      </c>
      <c r="O48" s="55" t="inlineStr">
        <is>
          <t>PRG-002</t>
        </is>
      </c>
    </row>
    <row r="50" ht="18" customHeight="1">
      <c r="A50" s="83" t="inlineStr">
        <is>
          <t>AGGREGATE RISK STATISTICS — PRG-002 Riverside Automation Upgrade Phase I</t>
        </is>
      </c>
    </row>
    <row r="51">
      <c r="A51" s="6" t="inlineStr">
        <is>
          <t>Total Components Tracked</t>
        </is>
      </c>
      <c r="B51" s="51">
        <f>COUNTA(A43:A48)</f>
        <v/>
      </c>
    </row>
    <row r="52">
      <c r="A52" s="6" t="inlineStr">
        <is>
          <t>Single-Source Components</t>
        </is>
      </c>
      <c r="B52" s="51">
        <f>COUNTIF(K43:K48,"YES")</f>
        <v/>
      </c>
    </row>
    <row r="53">
      <c r="A53" s="6" t="inlineStr">
        <is>
          <t>Avg Composite Risk Score</t>
        </is>
      </c>
      <c r="B53" s="51">
        <f>AVERAGE(I43:I48)</f>
        <v/>
      </c>
    </row>
    <row r="54">
      <c r="A54" s="6" t="inlineStr">
        <is>
          <t>Max Risk Score (Worst Item)</t>
        </is>
      </c>
      <c r="B54" s="51">
        <f>MAX(I43:I48)</f>
        <v/>
      </c>
    </row>
    <row r="55">
      <c r="A55" s="6" t="inlineStr">
        <is>
          <t>CRITICAL Tier Items</t>
        </is>
      </c>
      <c r="B55" s="51">
        <f>COUNTIF(J43:J48,"CRITICAL")</f>
        <v/>
      </c>
    </row>
    <row r="56">
      <c r="A56" s="6" t="inlineStr">
        <is>
          <t>HIGH Tier Items</t>
        </is>
      </c>
      <c r="B56" s="51">
        <f>COUNTIF(J43:J48,"HIGH")</f>
        <v/>
      </c>
    </row>
  </sheetData>
  <mergeCells count="6">
    <mergeCell ref="A2:O2"/>
    <mergeCell ref="A33:B33"/>
    <mergeCell ref="A41:O41"/>
    <mergeCell ref="A26:D26"/>
    <mergeCell ref="A1:O1"/>
    <mergeCell ref="A50:B50"/>
  </mergeCells>
  <conditionalFormatting sqref="J5:J23">
    <cfRule type="cellIs" priority="1" operator="equal" dxfId="0">
      <formula>"CRITICAL"</formula>
    </cfRule>
    <cfRule type="cellIs" priority="2" operator="equal" dxfId="1">
      <formula>"HIGH"</formula>
    </cfRule>
    <cfRule type="cellIs" priority="3" operator="equal" dxfId="2">
      <formula>"MODERATE"</formula>
    </cfRule>
    <cfRule type="cellIs" priority="4" operator="equal" dxfId="3">
      <formula>"LOW"</formula>
    </cfRule>
  </conditionalFormatting>
  <conditionalFormatting sqref="J43:J48">
    <cfRule type="cellIs" priority="5" operator="equal" dxfId="0">
      <formula>"CRITICAL"</formula>
    </cfRule>
    <cfRule type="cellIs" priority="6" operator="equal" dxfId="1">
      <formula>"HIGH"</formula>
    </cfRule>
    <cfRule type="cellIs" priority="7" operator="equal" dxfId="2">
      <formula>"MODERATE"</formula>
    </cfRule>
    <cfRule type="cellIs" priority="8" operator="equal" dxfId="3">
      <formula>"LOW"</formula>
    </cfRule>
  </conditionalFormatting>
  <pageMargins left="0.75" right="0.75" top="1" bottom="1" header="0.5" footer="0.5"/>
</worksheet>
</file>

<file path=xl/worksheets/sheet21.xml><?xml version="1.0" encoding="utf-8"?>
<worksheet xmlns="http://schemas.openxmlformats.org/spreadsheetml/2006/main">
  <sheetPr>
    <tabColor rgb="006A1B9A"/>
    <outlinePr summaryBelow="1" summaryRight="1"/>
    <pageSetUpPr/>
  </sheetPr>
  <dimension ref="A1:G19"/>
  <sheetViews>
    <sheetView workbookViewId="0">
      <pane ySplit="5" topLeftCell="A6" activePane="bottomLeft" state="frozen"/>
      <selection pane="bottomLeft" activeCell="A1" sqref="A1"/>
    </sheetView>
  </sheetViews>
  <sheetFormatPr baseColWidth="8" defaultRowHeight="15"/>
  <cols>
    <col width="34" customWidth="1" min="1" max="1"/>
    <col width="14" customWidth="1" min="2" max="2"/>
    <col width="16" customWidth="1" min="3" max="3"/>
    <col width="14" customWidth="1" min="4" max="4"/>
    <col width="14" customWidth="1" min="5" max="5"/>
    <col width="13" customWidth="1" min="6" max="6"/>
    <col width="55" customWidth="1" min="7" max="7"/>
  </cols>
  <sheetData>
    <row r="1" ht="26" customHeight="1">
      <c r="A1" s="95" t="inlineStr">
        <is>
          <t>S17 — Supply Market Structure Analysis — Commodity Concentration &amp; Pricing</t>
        </is>
      </c>
    </row>
    <row r="2" ht="15" customHeight="1">
      <c r="A2" s="2" t="inlineStr">
        <is>
          <t>Program: Greenfield Expansion Phase II | Owner: Sourabh Tarodekar / Strategic Sourcing | HHI = Herfindahl-Hirschman Index (sum of squared market shares x10,000) | HHI &gt; 2500 = highly concentrated market</t>
        </is>
      </c>
    </row>
    <row r="4" ht="30" customHeight="1">
      <c r="A4" s="96" t="inlineStr">
        <is>
          <t>Commodity / Category</t>
        </is>
      </c>
      <c r="B4" s="96" t="inlineStr">
        <is>
          <t># Global Suppliers</t>
        </is>
      </c>
      <c r="C4" s="96" t="inlineStr">
        <is>
          <t>Top-3 Market Share (%)</t>
        </is>
      </c>
      <c r="D4" s="96" t="inlineStr">
        <is>
          <t>HHI (Concentration Index)</t>
        </is>
      </c>
      <c r="E4" s="96" t="inlineStr">
        <is>
          <t>12-Mo Price Trend</t>
        </is>
      </c>
      <c r="F4" s="96" t="inlineStr">
        <is>
          <t>Lead Time Trend</t>
        </is>
      </c>
      <c r="G4" s="96" t="inlineStr">
        <is>
          <t>Key Market Risk / Notes</t>
        </is>
      </c>
    </row>
    <row r="5">
      <c r="A5" s="6" t="inlineStr">
        <is>
          <t>Vacuum Pumps (Turbo/Dry Screw)</t>
        </is>
      </c>
      <c r="B5" s="43" t="n">
        <v>6</v>
      </c>
      <c r="C5" s="47" t="n">
        <v>0.72</v>
      </c>
      <c r="D5" s="97" t="n">
        <v>2450</v>
      </c>
      <c r="E5" s="6" t="inlineStr">
        <is>
          <t>+4.2%</t>
        </is>
      </c>
      <c r="F5" s="6" t="inlineStr">
        <is>
          <t>Extending</t>
        </is>
      </c>
      <c r="G5" s="8" t="inlineStr">
        <is>
          <t>Pfeiffer/Edwards/Busch concentration; semiconductor demand surge</t>
        </is>
      </c>
    </row>
    <row r="6">
      <c r="A6" s="6" t="inlineStr">
        <is>
          <t>High-Temp Furnace Systems</t>
        </is>
      </c>
      <c r="B6" s="43" t="n">
        <v>5</v>
      </c>
      <c r="C6" s="47" t="n">
        <v>0.8100000000000001</v>
      </c>
      <c r="D6" s="98" t="n">
        <v>3100</v>
      </c>
      <c r="E6" s="6" t="inlineStr">
        <is>
          <t>+6.8%</t>
        </is>
      </c>
      <c r="F6" s="6" t="inlineStr">
        <is>
          <t>Extending</t>
        </is>
      </c>
      <c r="G6" s="8" t="inlineStr">
        <is>
          <t>TEL/Thermco/Kokusai oligopoly; long qualification cycles limit new entrants</t>
        </is>
      </c>
    </row>
    <row r="7">
      <c r="A7" s="6" t="inlineStr">
        <is>
          <t>Precision Robotics (SCARA/6-axis)</t>
        </is>
      </c>
      <c r="B7" s="43" t="n">
        <v>8</v>
      </c>
      <c r="C7" s="47" t="n">
        <v>0.65</v>
      </c>
      <c r="D7" s="97" t="n">
        <v>1980</v>
      </c>
      <c r="E7" s="6" t="inlineStr">
        <is>
          <t>+2.1%</t>
        </is>
      </c>
      <c r="F7" s="6" t="inlineStr">
        <is>
          <t>Stable</t>
        </is>
      </c>
      <c r="G7" s="8" t="inlineStr">
        <is>
          <t>Brooks/Yaskawa/Fanuc/Kawasaki competitive field; servo chip shortage easing</t>
        </is>
      </c>
    </row>
    <row r="8">
      <c r="A8" s="6" t="inlineStr">
        <is>
          <t>Process Gas Handling Systems</t>
        </is>
      </c>
      <c r="B8" s="43" t="n">
        <v>7</v>
      </c>
      <c r="C8" s="47" t="n">
        <v>0.58</v>
      </c>
      <c r="D8" s="97" t="n">
        <v>1620</v>
      </c>
      <c r="E8" s="6" t="inlineStr">
        <is>
          <t>+3.5%</t>
        </is>
      </c>
      <c r="F8" s="6" t="inlineStr">
        <is>
          <t>Extending</t>
        </is>
      </c>
      <c r="G8" s="8" t="inlineStr">
        <is>
          <t>Air Liquide/Linde/Matheson; hazmat regulatory burden raises entry barriers</t>
        </is>
      </c>
    </row>
    <row r="9">
      <c r="A9" s="6" t="inlineStr">
        <is>
          <t>PLC / DCS Control Systems</t>
        </is>
      </c>
      <c r="B9" s="43" t="n">
        <v>4</v>
      </c>
      <c r="C9" s="47" t="n">
        <v>0.85</v>
      </c>
      <c r="D9" s="98" t="n">
        <v>3400</v>
      </c>
      <c r="E9" s="6" t="inlineStr">
        <is>
          <t>+1.8%</t>
        </is>
      </c>
      <c r="F9" s="6" t="inlineStr">
        <is>
          <t>Stable</t>
        </is>
      </c>
      <c r="G9" s="8" t="inlineStr">
        <is>
          <t>Siemens/Rockwell/ABB/Schneider dominate; software licensing model shift</t>
        </is>
      </c>
    </row>
    <row r="10">
      <c r="A10" s="6" t="inlineStr">
        <is>
          <t>Facility Power Infrastructure (Transformers)</t>
        </is>
      </c>
      <c r="B10" s="43" t="n">
        <v>9</v>
      </c>
      <c r="C10" s="47" t="n">
        <v>0.52</v>
      </c>
      <c r="D10" s="99" t="n">
        <v>1340</v>
      </c>
      <c r="E10" s="6" t="inlineStr">
        <is>
          <t>+8.5%</t>
        </is>
      </c>
      <c r="F10" s="6" t="inlineStr">
        <is>
          <t>Extending</t>
        </is>
      </c>
      <c r="G10" s="8" t="inlineStr">
        <is>
          <t>Grid-scale transformer demand surge (data centers); 18-24mo lead times industry-wide</t>
        </is>
      </c>
    </row>
    <row r="11">
      <c r="A11" s="6" t="inlineStr">
        <is>
          <t>Industrial Chillers / Cooling</t>
        </is>
      </c>
      <c r="B11" s="43" t="n">
        <v>6</v>
      </c>
      <c r="C11" s="47" t="n">
        <v>0.61</v>
      </c>
      <c r="D11" s="97" t="n">
        <v>1710</v>
      </c>
      <c r="E11" s="6" t="inlineStr">
        <is>
          <t>+3.0%</t>
        </is>
      </c>
      <c r="F11" s="6" t="inlineStr">
        <is>
          <t>Stable</t>
        </is>
      </c>
      <c r="G11" s="8" t="inlineStr">
        <is>
          <t>Daikin/Trane/Carrier; refrigerant transition (R-454B) driving redesigns</t>
        </is>
      </c>
    </row>
    <row r="12">
      <c r="A12" s="6" t="inlineStr">
        <is>
          <t>Mobile Robotics (AMR Fleets)</t>
        </is>
      </c>
      <c r="B12" s="43" t="n">
        <v>10</v>
      </c>
      <c r="C12" s="47" t="n">
        <v>0.48</v>
      </c>
      <c r="D12" s="99" t="n">
        <v>1120</v>
      </c>
      <c r="E12" s="6" t="inlineStr">
        <is>
          <t>-2.5%</t>
        </is>
      </c>
      <c r="F12" s="6" t="inlineStr">
        <is>
          <t>Improving</t>
        </is>
      </c>
      <c r="G12" s="8" t="inlineStr">
        <is>
          <t>MiR/Locus/Omron/Fetch; maturing market with price competition intensifying</t>
        </is>
      </c>
    </row>
    <row r="15" ht="18" customHeight="1">
      <c r="A15" s="100" t="inlineStr">
        <is>
          <t>MARKET INTELLIGENCE SUMMARY</t>
        </is>
      </c>
    </row>
    <row r="16">
      <c r="A16" s="6" t="inlineStr">
        <is>
          <t>Commodities Tracked</t>
        </is>
      </c>
      <c r="B16" s="49">
        <f>COUNTA(A5:A12)</f>
        <v/>
      </c>
    </row>
    <row r="17">
      <c r="A17" s="6" t="inlineStr">
        <is>
          <t>Avg HHI (Portfolio Commodities)</t>
        </is>
      </c>
      <c r="B17" s="49">
        <f>AVERAGE(D5:D12)</f>
        <v/>
      </c>
    </row>
    <row r="18">
      <c r="A18" s="6" t="inlineStr">
        <is>
          <t>Highly Concentrated Markets (HHI&gt;2500)</t>
        </is>
      </c>
      <c r="B18" s="49">
        <f>COUNTIF(D5:D12,"&gt;2500")</f>
        <v/>
      </c>
    </row>
    <row r="19">
      <c r="A19" s="6" t="inlineStr">
        <is>
          <t>Avg Top-3 Market Share</t>
        </is>
      </c>
      <c r="B19" s="101">
        <f>AVERAGE(C5:C12)</f>
        <v/>
      </c>
    </row>
  </sheetData>
  <mergeCells count="3">
    <mergeCell ref="A2:G2"/>
    <mergeCell ref="A1:G1"/>
    <mergeCell ref="A15:B15"/>
  </mergeCells>
  <pageMargins left="0.75" right="0.75" top="1" bottom="1" header="0.5" footer="0.5"/>
</worksheet>
</file>

<file path=xl/worksheets/sheet22.xml><?xml version="1.0" encoding="utf-8"?>
<worksheet xmlns="http://schemas.openxmlformats.org/spreadsheetml/2006/main">
  <sheetPr>
    <tabColor rgb="006A1B9A"/>
    <outlinePr summaryBelow="1" summaryRight="1"/>
    <pageSetUpPr/>
  </sheetPr>
  <dimension ref="A1:I27"/>
  <sheetViews>
    <sheetView workbookViewId="0">
      <pane ySplit="5" topLeftCell="A6" activePane="bottomLeft" state="frozen"/>
      <selection pane="bottomLeft" activeCell="A1" sqref="A1"/>
    </sheetView>
  </sheetViews>
  <sheetFormatPr baseColWidth="8" defaultRowHeight="15"/>
  <cols>
    <col width="28" customWidth="1" min="1" max="1"/>
    <col width="8" customWidth="1" min="2" max="2"/>
    <col width="16" customWidth="1" min="3" max="3"/>
    <col width="10" customWidth="1" min="4" max="4"/>
    <col width="16" customWidth="1" min="5" max="5"/>
    <col width="16" customWidth="1" min="6" max="6"/>
    <col width="12" customWidth="1" min="7" max="7"/>
    <col width="24" customWidth="1" min="8" max="8"/>
    <col width="32" customWidth="1" min="9" max="9"/>
  </cols>
  <sheetData>
    <row r="1" ht="26" customHeight="1">
      <c r="A1" s="95" t="inlineStr">
        <is>
          <t>S18 — Supply Chain Network Map — Supplier Geography, Routes &amp; Tier-2 Visibility</t>
        </is>
      </c>
    </row>
    <row r="2" ht="15" customHeight="1">
      <c r="A2" s="2" t="inlineStr">
        <is>
          <t>Program: Greenfield Expansion Phase II | Owner: Sourabh Tarodekar / Logistics | 15 suppliers across 5 countries | Feeds S19 Sourcing Pipeline and S14 Cash Flow logistics timing</t>
        </is>
      </c>
    </row>
    <row r="4" ht="30" customHeight="1">
      <c r="A4" s="96" t="inlineStr">
        <is>
          <t>Supplier</t>
        </is>
      </c>
      <c r="B4" s="96" t="inlineStr">
        <is>
          <t>Country</t>
        </is>
      </c>
      <c r="C4" s="96" t="inlineStr">
        <is>
          <t>City / Site</t>
        </is>
      </c>
      <c r="D4" s="96" t="inlineStr">
        <is>
          <t>Equip Ref</t>
        </is>
      </c>
      <c r="E4" s="96" t="inlineStr">
        <is>
          <t>Transport Mode</t>
        </is>
      </c>
      <c r="F4" s="96" t="inlineStr">
        <is>
          <t>Ocean/Intl Transit (wks)</t>
        </is>
      </c>
      <c r="G4" s="96" t="inlineStr">
        <is>
          <t>Incoterm</t>
        </is>
      </c>
      <c r="H4" s="96" t="inlineStr">
        <is>
          <t>Tier-2 Sub-Supplier Visibility</t>
        </is>
      </c>
      <c r="I4" s="96" t="inlineStr">
        <is>
          <t>Customs Complexity</t>
        </is>
      </c>
    </row>
    <row r="5">
      <c r="A5" s="6" t="inlineStr">
        <is>
          <t>Edwards Vacuum</t>
        </is>
      </c>
      <c r="B5" s="43" t="inlineStr">
        <is>
          <t>UK</t>
        </is>
      </c>
      <c r="C5" s="6" t="inlineStr">
        <is>
          <t>Crawley</t>
        </is>
      </c>
      <c r="D5" s="6" t="inlineStr">
        <is>
          <t>EQ-001</t>
        </is>
      </c>
      <c r="E5" s="6" t="inlineStr">
        <is>
          <t>Ocean + Road</t>
        </is>
      </c>
      <c r="F5" s="43" t="n">
        <v>3</v>
      </c>
      <c r="G5" s="6" t="inlineStr">
        <is>
          <t>DDP</t>
        </is>
      </c>
      <c r="H5" s="6" t="inlineStr">
        <is>
          <t>Partial</t>
        </is>
      </c>
      <c r="I5" s="6" t="inlineStr">
        <is>
          <t>Moderate — post-Brexit customs</t>
        </is>
      </c>
    </row>
    <row r="6">
      <c r="A6" s="6" t="inlineStr">
        <is>
          <t>Pfeiffer Vacuum</t>
        </is>
      </c>
      <c r="B6" s="43" t="inlineStr">
        <is>
          <t>DE</t>
        </is>
      </c>
      <c r="C6" s="6" t="inlineStr">
        <is>
          <t>Asslar</t>
        </is>
      </c>
      <c r="D6" s="6" t="inlineStr">
        <is>
          <t>EQ-002</t>
        </is>
      </c>
      <c r="E6" s="6" t="inlineStr">
        <is>
          <t>Ocean + Road</t>
        </is>
      </c>
      <c r="F6" s="43" t="n">
        <v>3</v>
      </c>
      <c r="G6" s="6" t="inlineStr">
        <is>
          <t>DDP</t>
        </is>
      </c>
      <c r="H6" s="6" t="inlineStr">
        <is>
          <t>Partial</t>
        </is>
      </c>
      <c r="I6" s="6" t="inlineStr">
        <is>
          <t>Low — EU/US standard lanes</t>
        </is>
      </c>
    </row>
    <row r="7">
      <c r="A7" s="6" t="inlineStr">
        <is>
          <t>Thermco Systems</t>
        </is>
      </c>
      <c r="B7" s="43" t="inlineStr">
        <is>
          <t>USA</t>
        </is>
      </c>
      <c r="C7" s="6" t="inlineStr">
        <is>
          <t>Austin, TX</t>
        </is>
      </c>
      <c r="D7" s="6" t="inlineStr">
        <is>
          <t>EQ-003</t>
        </is>
      </c>
      <c r="E7" s="6" t="inlineStr">
        <is>
          <t>Road</t>
        </is>
      </c>
      <c r="F7" s="43" t="n">
        <v>1</v>
      </c>
      <c r="G7" s="6" t="inlineStr">
        <is>
          <t>FOB Origin</t>
        </is>
      </c>
      <c r="H7" s="6" t="inlineStr">
        <is>
          <t>Full</t>
        </is>
      </c>
      <c r="I7" s="6" t="inlineStr">
        <is>
          <t>Low — domestic</t>
        </is>
      </c>
    </row>
    <row r="8">
      <c r="A8" s="6" t="inlineStr">
        <is>
          <t>Tokyo Electron Ltd</t>
        </is>
      </c>
      <c r="B8" s="43" t="inlineStr">
        <is>
          <t>JP</t>
        </is>
      </c>
      <c r="C8" s="6" t="inlineStr">
        <is>
          <t>Tokyo</t>
        </is>
      </c>
      <c r="D8" s="6" t="inlineStr">
        <is>
          <t>EQ-004</t>
        </is>
      </c>
      <c r="E8" s="6" t="inlineStr">
        <is>
          <t>Ocean</t>
        </is>
      </c>
      <c r="F8" s="43" t="n">
        <v>4</v>
      </c>
      <c r="G8" s="6" t="inlineStr">
        <is>
          <t>DDP</t>
        </is>
      </c>
      <c r="H8" s="6" t="inlineStr">
        <is>
          <t>Partial</t>
        </is>
      </c>
      <c r="I8" s="6" t="inlineStr">
        <is>
          <t>High — JPY invoicing, import duty</t>
        </is>
      </c>
    </row>
    <row r="9">
      <c r="A9" s="6" t="inlineStr">
        <is>
          <t>Brooks Automation</t>
        </is>
      </c>
      <c r="B9" s="43" t="inlineStr">
        <is>
          <t>USA</t>
        </is>
      </c>
      <c r="C9" s="6" t="inlineStr">
        <is>
          <t>Chelmsford, MA</t>
        </is>
      </c>
      <c r="D9" s="6" t="inlineStr">
        <is>
          <t>EQ-005</t>
        </is>
      </c>
      <c r="E9" s="6" t="inlineStr">
        <is>
          <t>Road</t>
        </is>
      </c>
      <c r="F9" s="43" t="n">
        <v>1</v>
      </c>
      <c r="G9" s="6" t="inlineStr">
        <is>
          <t>FOB Origin</t>
        </is>
      </c>
      <c r="H9" s="6" t="inlineStr">
        <is>
          <t>Full</t>
        </is>
      </c>
      <c r="I9" s="6" t="inlineStr">
        <is>
          <t>Low — domestic</t>
        </is>
      </c>
    </row>
    <row r="10">
      <c r="A10" s="6" t="inlineStr">
        <is>
          <t>Daifuku</t>
        </is>
      </c>
      <c r="B10" s="43" t="inlineStr">
        <is>
          <t>JP</t>
        </is>
      </c>
      <c r="C10" s="6" t="inlineStr">
        <is>
          <t>Osaka</t>
        </is>
      </c>
      <c r="D10" s="6" t="inlineStr">
        <is>
          <t>EQ-006</t>
        </is>
      </c>
      <c r="E10" s="6" t="inlineStr">
        <is>
          <t>Ocean</t>
        </is>
      </c>
      <c r="F10" s="43" t="n">
        <v>4</v>
      </c>
      <c r="G10" s="6" t="inlineStr">
        <is>
          <t>DDP</t>
        </is>
      </c>
      <c r="H10" s="6" t="inlineStr">
        <is>
          <t>Low — custom civil scope</t>
        </is>
      </c>
      <c r="I10" s="6" t="inlineStr">
        <is>
          <t>High — custom project logistics</t>
        </is>
      </c>
    </row>
    <row r="11">
      <c r="A11" s="6" t="inlineStr">
        <is>
          <t>Air Liquide Engineering</t>
        </is>
      </c>
      <c r="B11" s="43" t="inlineStr">
        <is>
          <t>FR</t>
        </is>
      </c>
      <c r="C11" s="6" t="inlineStr">
        <is>
          <t>Frankfurt (hub)</t>
        </is>
      </c>
      <c r="D11" s="6" t="inlineStr">
        <is>
          <t>EQ-007</t>
        </is>
      </c>
      <c r="E11" s="6" t="inlineStr">
        <is>
          <t>Ocean + Road</t>
        </is>
      </c>
      <c r="F11" s="43" t="n">
        <v>3</v>
      </c>
      <c r="G11" s="6" t="inlineStr">
        <is>
          <t>DDP</t>
        </is>
      </c>
      <c r="H11" s="6" t="inlineStr">
        <is>
          <t>Partial</t>
        </is>
      </c>
      <c r="I11" s="6" t="inlineStr">
        <is>
          <t>Moderate — hazmat classification</t>
        </is>
      </c>
    </row>
    <row r="12">
      <c r="A12" s="6" t="inlineStr">
        <is>
          <t>Linde Engineering</t>
        </is>
      </c>
      <c r="B12" s="43" t="inlineStr">
        <is>
          <t>DE</t>
        </is>
      </c>
      <c r="C12" s="6" t="inlineStr">
        <is>
          <t>Pullach</t>
        </is>
      </c>
      <c r="D12" s="6" t="inlineStr">
        <is>
          <t>EQ-008</t>
        </is>
      </c>
      <c r="E12" s="6" t="inlineStr">
        <is>
          <t>Ocean + Road</t>
        </is>
      </c>
      <c r="F12" s="43" t="n">
        <v>4</v>
      </c>
      <c r="G12" s="6" t="inlineStr">
        <is>
          <t>DDP</t>
        </is>
      </c>
      <c r="H12" s="6" t="inlineStr">
        <is>
          <t>Partial</t>
        </is>
      </c>
      <c r="I12" s="6" t="inlineStr">
        <is>
          <t>Moderate — pressure vessel cert</t>
        </is>
      </c>
    </row>
    <row r="13">
      <c r="A13" s="6" t="inlineStr">
        <is>
          <t>Siemens AG</t>
        </is>
      </c>
      <c r="B13" s="43" t="inlineStr">
        <is>
          <t>DE</t>
        </is>
      </c>
      <c r="C13" s="6" t="inlineStr">
        <is>
          <t>Karlsruhe</t>
        </is>
      </c>
      <c r="D13" s="6" t="inlineStr">
        <is>
          <t>EQ-009</t>
        </is>
      </c>
      <c r="E13" s="6" t="inlineStr">
        <is>
          <t>Ocean + Road</t>
        </is>
      </c>
      <c r="F13" s="43" t="n">
        <v>3</v>
      </c>
      <c r="G13" s="6" t="inlineStr">
        <is>
          <t>DDP</t>
        </is>
      </c>
      <c r="H13" s="6" t="inlineStr">
        <is>
          <t>Full</t>
        </is>
      </c>
      <c r="I13" s="6" t="inlineStr">
        <is>
          <t>Low — standard EU/US lanes</t>
        </is>
      </c>
    </row>
    <row r="14">
      <c r="A14" s="6" t="inlineStr">
        <is>
          <t>Inductive Automation</t>
        </is>
      </c>
      <c r="B14" s="43" t="inlineStr">
        <is>
          <t>USA</t>
        </is>
      </c>
      <c r="C14" s="6" t="inlineStr">
        <is>
          <t>Folsom, CA</t>
        </is>
      </c>
      <c r="D14" s="6" t="inlineStr">
        <is>
          <t>EQ-010</t>
        </is>
      </c>
      <c r="E14" s="6" t="inlineStr">
        <is>
          <t>N/A — Software</t>
        </is>
      </c>
      <c r="F14" s="43" t="n">
        <v>0</v>
      </c>
      <c r="G14" s="6" t="inlineStr">
        <is>
          <t>N/A</t>
        </is>
      </c>
      <c r="H14" s="6" t="inlineStr">
        <is>
          <t>Full</t>
        </is>
      </c>
      <c r="I14" s="6" t="inlineStr">
        <is>
          <t>None — digital delivery</t>
        </is>
      </c>
    </row>
    <row r="15">
      <c r="A15" s="6" t="inlineStr">
        <is>
          <t>ABB Ltd</t>
        </is>
      </c>
      <c r="B15" s="43" t="inlineStr">
        <is>
          <t>CH</t>
        </is>
      </c>
      <c r="C15" s="6" t="inlineStr">
        <is>
          <t>Zurich</t>
        </is>
      </c>
      <c r="D15" s="6" t="inlineStr">
        <is>
          <t>EQ-011</t>
        </is>
      </c>
      <c r="E15" s="6" t="inlineStr">
        <is>
          <t>Ocean + Road</t>
        </is>
      </c>
      <c r="F15" s="43" t="n">
        <v>3</v>
      </c>
      <c r="G15" s="6" t="inlineStr">
        <is>
          <t>DDP</t>
        </is>
      </c>
      <c r="H15" s="6" t="inlineStr">
        <is>
          <t>Full</t>
        </is>
      </c>
      <c r="I15" s="6" t="inlineStr">
        <is>
          <t>Low — standard EU/US lanes</t>
        </is>
      </c>
    </row>
    <row r="16">
      <c r="A16" s="6" t="inlineStr">
        <is>
          <t>Daikin Applied</t>
        </is>
      </c>
      <c r="B16" s="43" t="inlineStr">
        <is>
          <t>JP</t>
        </is>
      </c>
      <c r="C16" s="6" t="inlineStr">
        <is>
          <t>Osaka</t>
        </is>
      </c>
      <c r="D16" s="6" t="inlineStr">
        <is>
          <t>EQ-012</t>
        </is>
      </c>
      <c r="E16" s="6" t="inlineStr">
        <is>
          <t>Ocean</t>
        </is>
      </c>
      <c r="F16" s="43" t="n">
        <v>3</v>
      </c>
      <c r="G16" s="6" t="inlineStr">
        <is>
          <t>DDP</t>
        </is>
      </c>
      <c r="H16" s="6" t="inlineStr">
        <is>
          <t>Partial</t>
        </is>
      </c>
      <c r="I16" s="6" t="inlineStr">
        <is>
          <t>High — JPY invoicing, import duty</t>
        </is>
      </c>
    </row>
    <row r="17">
      <c r="A17" s="6" t="inlineStr">
        <is>
          <t>Busch Vacuum</t>
        </is>
      </c>
      <c r="B17" s="43" t="inlineStr">
        <is>
          <t>DE</t>
        </is>
      </c>
      <c r="C17" s="6" t="inlineStr">
        <is>
          <t>Maulburg</t>
        </is>
      </c>
      <c r="D17" s="6" t="inlineStr">
        <is>
          <t>EQ-013</t>
        </is>
      </c>
      <c r="E17" s="6" t="inlineStr">
        <is>
          <t>Ocean + Road</t>
        </is>
      </c>
      <c r="F17" s="43" t="n">
        <v>3</v>
      </c>
      <c r="G17" s="6" t="inlineStr">
        <is>
          <t>DDP</t>
        </is>
      </c>
      <c r="H17" s="6" t="inlineStr">
        <is>
          <t>Partial</t>
        </is>
      </c>
      <c r="I17" s="6" t="inlineStr">
        <is>
          <t>Low — EU/US standard lanes</t>
        </is>
      </c>
    </row>
    <row r="18">
      <c r="A18" s="6" t="inlineStr">
        <is>
          <t>Applied Materials</t>
        </is>
      </c>
      <c r="B18" s="43" t="inlineStr">
        <is>
          <t>USA</t>
        </is>
      </c>
      <c r="C18" s="6" t="inlineStr">
        <is>
          <t>Santa Clara, CA</t>
        </is>
      </c>
      <c r="D18" s="6" t="inlineStr">
        <is>
          <t>EQ-014</t>
        </is>
      </c>
      <c r="E18" s="6" t="inlineStr">
        <is>
          <t>Road</t>
        </is>
      </c>
      <c r="F18" s="43" t="n">
        <v>1</v>
      </c>
      <c r="G18" s="6" t="inlineStr">
        <is>
          <t>FOB Origin</t>
        </is>
      </c>
      <c r="H18" s="6" t="inlineStr">
        <is>
          <t>Full</t>
        </is>
      </c>
      <c r="I18" s="6" t="inlineStr">
        <is>
          <t>Low — domestic</t>
        </is>
      </c>
    </row>
    <row r="19">
      <c r="A19" s="6" t="inlineStr">
        <is>
          <t>Mobile Industrial Robots (MiR)</t>
        </is>
      </c>
      <c r="B19" s="43" t="inlineStr">
        <is>
          <t>DK</t>
        </is>
      </c>
      <c r="C19" s="6" t="inlineStr">
        <is>
          <t>Odense</t>
        </is>
      </c>
      <c r="D19" s="6" t="inlineStr">
        <is>
          <t>EQ-015</t>
        </is>
      </c>
      <c r="E19" s="6" t="inlineStr">
        <is>
          <t>Ocean + Road</t>
        </is>
      </c>
      <c r="F19" s="43" t="n">
        <v>3</v>
      </c>
      <c r="G19" s="6" t="inlineStr">
        <is>
          <t>DDP</t>
        </is>
      </c>
      <c r="H19" s="6" t="inlineStr">
        <is>
          <t>Full</t>
        </is>
      </c>
      <c r="I19" s="6" t="inlineStr">
        <is>
          <t>Moderate — EU export docs</t>
        </is>
      </c>
    </row>
    <row r="22" ht="18" customHeight="1">
      <c r="A22" s="100" t="inlineStr">
        <is>
          <t>NETWORK SUMMARY</t>
        </is>
      </c>
    </row>
    <row r="23">
      <c r="A23" s="6" t="inlineStr">
        <is>
          <t>Total Suppliers in Network</t>
        </is>
      </c>
      <c r="B23" s="49">
        <f>COUNTA(A5:A19)</f>
        <v/>
      </c>
    </row>
    <row r="24">
      <c r="A24" s="6" t="inlineStr">
        <is>
          <t>Countries Represented</t>
        </is>
      </c>
      <c r="B24" s="49">
        <f>SUMPRODUCT(1/COUNTIF(B5:B19,B5:B19))</f>
        <v/>
      </c>
    </row>
    <row r="25">
      <c r="A25" s="6" t="inlineStr">
        <is>
          <t>Avg Ocean/International Transit (wks)</t>
        </is>
      </c>
      <c r="B25" s="51">
        <f>AVERAGE(F5:F19)</f>
        <v/>
      </c>
    </row>
    <row r="26">
      <c r="A26" s="6" t="inlineStr">
        <is>
          <t>Suppliers Requiring Ocean Freight</t>
        </is>
      </c>
      <c r="B26" s="49">
        <f>COUNTIF(E5:E19,"*Ocean*")</f>
        <v/>
      </c>
    </row>
    <row r="27">
      <c r="A27" s="6" t="inlineStr">
        <is>
          <t>Domestic (Road-Only) Suppliers</t>
        </is>
      </c>
      <c r="B27" s="49">
        <f>COUNTIF(E5:E19,"Road")</f>
        <v/>
      </c>
    </row>
  </sheetData>
  <mergeCells count="3">
    <mergeCell ref="A1:I1"/>
    <mergeCell ref="A22:B22"/>
    <mergeCell ref="A2:I2"/>
  </mergeCells>
  <pageMargins left="0.75" right="0.75" top="1" bottom="1" header="0.5" footer="0.5"/>
</worksheet>
</file>

<file path=xl/worksheets/sheet23.xml><?xml version="1.0" encoding="utf-8"?>
<worksheet xmlns="http://schemas.openxmlformats.org/spreadsheetml/2006/main">
  <sheetPr>
    <tabColor rgb="006A1B9A"/>
    <outlinePr summaryBelow="1" summaryRight="1"/>
    <pageSetUpPr/>
  </sheetPr>
  <dimension ref="A1:J24"/>
  <sheetViews>
    <sheetView workbookViewId="0">
      <pane ySplit="5" topLeftCell="A6" activePane="bottomLeft" state="frozen"/>
      <selection pane="bottomLeft" activeCell="A1" sqref="A1"/>
    </sheetView>
  </sheetViews>
  <sheetFormatPr baseColWidth="8" defaultRowHeight="15"/>
  <cols>
    <col width="28" customWidth="1" min="1" max="1"/>
    <col width="16" customWidth="1" min="2" max="2"/>
    <col width="9" customWidth="1" min="3" max="3"/>
    <col width="12" customWidth="1" min="4" max="4"/>
    <col width="12" customWidth="1" min="5" max="5"/>
    <col width="16" customWidth="1" min="6" max="6"/>
    <col width="11" customWidth="1" min="7" max="7"/>
    <col width="30" customWidth="1" min="8" max="8"/>
    <col width="15" customWidth="1" min="9" max="9"/>
    <col width="16" customWidth="1" min="10" max="10"/>
  </cols>
  <sheetData>
    <row r="1" ht="26" customHeight="1">
      <c r="A1" s="95" t="inlineStr">
        <is>
          <t>S19 — Strategic Sourcing Pipeline — RFI to Award, Contract Status &amp; Savings</t>
        </is>
      </c>
    </row>
    <row r="2" ht="15" customHeight="1">
      <c r="A2" s="2" t="inlineStr">
        <is>
          <t>Program: Greenfield Expansion Phase II | Owner: Sourabh Tarodekar / Strategic Sourcing | FEL = Front-End Loading (1=Concept, 2=Feasibility, 3=Definition) | 12 sourcing categories tracked</t>
        </is>
      </c>
    </row>
    <row r="4" ht="30" customHeight="1">
      <c r="A4" s="96" t="inlineStr">
        <is>
          <t>Sourcing Category</t>
        </is>
      </c>
      <c r="B4" s="96" t="inlineStr">
        <is>
          <t>Equipment Ref</t>
        </is>
      </c>
      <c r="C4" s="96" t="inlineStr">
        <is>
          <t>FEL Phase</t>
        </is>
      </c>
      <c r="D4" s="96" t="inlineStr">
        <is>
          <t>RFI Date</t>
        </is>
      </c>
      <c r="E4" s="96" t="inlineStr">
        <is>
          <t>RFQ Date</t>
        </is>
      </c>
      <c r="F4" s="96" t="inlineStr">
        <is>
          <t>Award Date</t>
        </is>
      </c>
      <c r="G4" s="96" t="inlineStr">
        <is>
          <t># Suppliers Bid</t>
        </is>
      </c>
      <c r="H4" s="96" t="inlineStr">
        <is>
          <t>Awarded / Leading Supplier</t>
        </is>
      </c>
      <c r="I4" s="96" t="inlineStr">
        <is>
          <t>Savings vs Budget (USD)</t>
        </is>
      </c>
      <c r="J4" s="96" t="inlineStr">
        <is>
          <t>Status</t>
        </is>
      </c>
    </row>
    <row r="5">
      <c r="A5" s="6" t="inlineStr">
        <is>
          <t>Vacuum Pump Systems</t>
        </is>
      </c>
      <c r="B5" s="6" t="inlineStr">
        <is>
          <t>EQ-001/002/013</t>
        </is>
      </c>
      <c r="C5" s="6" t="inlineStr">
        <is>
          <t>FEL-3</t>
        </is>
      </c>
      <c r="D5" s="6" t="inlineStr">
        <is>
          <t>2024-09-15</t>
        </is>
      </c>
      <c r="E5" s="6" t="inlineStr">
        <is>
          <t>2024-10-15</t>
        </is>
      </c>
      <c r="F5" s="6" t="inlineStr">
        <is>
          <t>2025-01-15</t>
        </is>
      </c>
      <c r="G5" s="6" t="n">
        <v>4</v>
      </c>
      <c r="H5" s="6" t="inlineStr">
        <is>
          <t>Edwards / Pfeiffer / Busch</t>
        </is>
      </c>
      <c r="I5" s="48" t="n">
        <v>93000</v>
      </c>
      <c r="J5" s="40" t="inlineStr">
        <is>
          <t>AWARDED</t>
        </is>
      </c>
    </row>
    <row r="6">
      <c r="A6" s="6" t="inlineStr">
        <is>
          <t>High-Temp Furnace Systems</t>
        </is>
      </c>
      <c r="B6" s="6" t="inlineStr">
        <is>
          <t>EQ-003/004/014</t>
        </is>
      </c>
      <c r="C6" s="6" t="inlineStr">
        <is>
          <t>FEL-3</t>
        </is>
      </c>
      <c r="D6" s="6" t="inlineStr">
        <is>
          <t>2024-08-01</t>
        </is>
      </c>
      <c r="E6" s="6" t="inlineStr">
        <is>
          <t>2024-09-01</t>
        </is>
      </c>
      <c r="F6" s="6" t="inlineStr">
        <is>
          <t>2025-01-01</t>
        </is>
      </c>
      <c r="G6" s="6" t="n">
        <v>3</v>
      </c>
      <c r="H6" s="6" t="inlineStr">
        <is>
          <t>Thermco / TEL / AMAT</t>
        </is>
      </c>
      <c r="I6" s="48" t="n">
        <v>207000</v>
      </c>
      <c r="J6" s="40" t="inlineStr">
        <is>
          <t>AWARDED</t>
        </is>
      </c>
    </row>
    <row r="7">
      <c r="A7" s="6" t="inlineStr">
        <is>
          <t>Robotics &amp; Automation</t>
        </is>
      </c>
      <c r="B7" s="6" t="inlineStr">
        <is>
          <t>EQ-005/006/015</t>
        </is>
      </c>
      <c r="C7" s="6" t="inlineStr">
        <is>
          <t>FEL-3</t>
        </is>
      </c>
      <c r="D7" s="6" t="inlineStr">
        <is>
          <t>2024-09-01</t>
        </is>
      </c>
      <c r="E7" s="6" t="inlineStr">
        <is>
          <t>2024-10-01</t>
        </is>
      </c>
      <c r="F7" s="6" t="inlineStr">
        <is>
          <t>2025-01-01</t>
        </is>
      </c>
      <c r="G7" s="6" t="n">
        <v>4</v>
      </c>
      <c r="H7" s="6" t="inlineStr">
        <is>
          <t>Brooks / Daifuku / MiR</t>
        </is>
      </c>
      <c r="I7" s="48" t="n">
        <v>119000</v>
      </c>
      <c r="J7" s="40" t="inlineStr">
        <is>
          <t>AWARDED</t>
        </is>
      </c>
    </row>
    <row r="8">
      <c r="A8" s="6" t="inlineStr">
        <is>
          <t>Gas Handling Systems</t>
        </is>
      </c>
      <c r="B8" s="6" t="inlineStr">
        <is>
          <t>EQ-007/008</t>
        </is>
      </c>
      <c r="C8" s="6" t="inlineStr">
        <is>
          <t>FEL-2</t>
        </is>
      </c>
      <c r="D8" s="6" t="inlineStr">
        <is>
          <t>2024-10-01</t>
        </is>
      </c>
      <c r="E8" s="6" t="inlineStr">
        <is>
          <t>2024-11-15</t>
        </is>
      </c>
      <c r="F8" s="6" t="inlineStr">
        <is>
          <t>2025-02-15 (target)</t>
        </is>
      </c>
      <c r="G8" s="6" t="n">
        <v>3</v>
      </c>
      <c r="H8" s="6" t="inlineStr">
        <is>
          <t>Air Liquide (pending) / Linde</t>
        </is>
      </c>
      <c r="I8" s="48" t="n">
        <v>22000</v>
      </c>
      <c r="J8" s="46" t="inlineStr">
        <is>
          <t>IN NEGOTIATION</t>
        </is>
      </c>
    </row>
    <row r="9">
      <c r="A9" s="6" t="inlineStr">
        <is>
          <t>PLC / Control Systems</t>
        </is>
      </c>
      <c r="B9" s="6" t="inlineStr">
        <is>
          <t>EQ-009/010</t>
        </is>
      </c>
      <c r="C9" s="6" t="inlineStr">
        <is>
          <t>FEL-3</t>
        </is>
      </c>
      <c r="D9" s="6" t="inlineStr">
        <is>
          <t>2024-08-15</t>
        </is>
      </c>
      <c r="E9" s="6" t="inlineStr">
        <is>
          <t>2024-09-15</t>
        </is>
      </c>
      <c r="F9" s="6" t="inlineStr">
        <is>
          <t>2024-12-15</t>
        </is>
      </c>
      <c r="G9" s="6" t="n">
        <v>3</v>
      </c>
      <c r="H9" s="6" t="inlineStr">
        <is>
          <t>Siemens / Inductive Automation</t>
        </is>
      </c>
      <c r="I9" s="48" t="n">
        <v>55000</v>
      </c>
      <c r="J9" s="40" t="inlineStr">
        <is>
          <t>AWARDED</t>
        </is>
      </c>
    </row>
    <row r="10">
      <c r="A10" s="6" t="inlineStr">
        <is>
          <t>Facility Infrastructure — Power</t>
        </is>
      </c>
      <c r="B10" s="6" t="inlineStr">
        <is>
          <t>EQ-011</t>
        </is>
      </c>
      <c r="C10" s="6" t="inlineStr">
        <is>
          <t>FEL-3</t>
        </is>
      </c>
      <c r="D10" s="6" t="inlineStr">
        <is>
          <t>2024-09-01</t>
        </is>
      </c>
      <c r="E10" s="6" t="inlineStr">
        <is>
          <t>2024-10-01</t>
        </is>
      </c>
      <c r="F10" s="6" t="inlineStr">
        <is>
          <t>2025-01-01</t>
        </is>
      </c>
      <c r="G10" s="6" t="n">
        <v>2</v>
      </c>
      <c r="H10" s="6" t="inlineStr">
        <is>
          <t>ABB Ltd</t>
        </is>
      </c>
      <c r="I10" s="48" t="n">
        <v>0</v>
      </c>
      <c r="J10" s="40" t="inlineStr">
        <is>
          <t>AWARDED</t>
        </is>
      </c>
    </row>
    <row r="11">
      <c r="A11" s="6" t="inlineStr">
        <is>
          <t>Facility Infrastructure — Cooling</t>
        </is>
      </c>
      <c r="B11" s="6" t="inlineStr">
        <is>
          <t>EQ-012</t>
        </is>
      </c>
      <c r="C11" s="6" t="inlineStr">
        <is>
          <t>FEL-3</t>
        </is>
      </c>
      <c r="D11" s="6" t="inlineStr">
        <is>
          <t>2024-09-15</t>
        </is>
      </c>
      <c r="E11" s="6" t="inlineStr">
        <is>
          <t>2024-10-15</t>
        </is>
      </c>
      <c r="F11" s="6" t="inlineStr">
        <is>
          <t>2025-01-15</t>
        </is>
      </c>
      <c r="G11" s="6" t="n">
        <v>3</v>
      </c>
      <c r="H11" s="6" t="inlineStr">
        <is>
          <t>Daikin Applied</t>
        </is>
      </c>
      <c r="I11" s="48" t="n">
        <v>41000</v>
      </c>
      <c r="J11" s="40" t="inlineStr">
        <is>
          <t>AWARDED</t>
        </is>
      </c>
    </row>
    <row r="12">
      <c r="A12" s="6" t="inlineStr">
        <is>
          <t>Spare Parts &amp; Consumables</t>
        </is>
      </c>
      <c r="B12" s="6" t="inlineStr">
        <is>
          <t>S23 register</t>
        </is>
      </c>
      <c r="C12" s="6" t="inlineStr">
        <is>
          <t>FEL-2</t>
        </is>
      </c>
      <c r="D12" s="6" t="inlineStr">
        <is>
          <t>2025-01-15</t>
        </is>
      </c>
      <c r="E12" s="6" t="inlineStr">
        <is>
          <t>2025-02-15</t>
        </is>
      </c>
      <c r="F12" s="6" t="inlineStr">
        <is>
          <t>2025-04-01 (target)</t>
        </is>
      </c>
      <c r="G12" s="6" t="n">
        <v>5</v>
      </c>
      <c r="H12" s="6" t="inlineStr">
        <is>
          <t>Multiple</t>
        </is>
      </c>
      <c r="I12" s="48" t="n">
        <v>0</v>
      </c>
      <c r="J12" s="46" t="inlineStr">
        <is>
          <t>IN PROGRESS</t>
        </is>
      </c>
    </row>
    <row r="13">
      <c r="A13" s="6" t="inlineStr">
        <is>
          <t>Field Service Contracts</t>
        </is>
      </c>
      <c r="B13" s="6" t="inlineStr">
        <is>
          <t>All platforms</t>
        </is>
      </c>
      <c r="C13" s="6" t="inlineStr">
        <is>
          <t>FEL-1</t>
        </is>
      </c>
      <c r="D13" s="6" t="inlineStr">
        <is>
          <t>2025-02-01</t>
        </is>
      </c>
      <c r="E13" s="6" t="inlineStr">
        <is>
          <t>2025-03-01 (target)</t>
        </is>
      </c>
      <c r="F13" s="6" t="inlineStr">
        <is>
          <t>TBD</t>
        </is>
      </c>
      <c r="G13" s="6" t="inlineStr">
        <is>
          <t>—</t>
        </is>
      </c>
      <c r="H13" s="6" t="inlineStr">
        <is>
          <t>TBD</t>
        </is>
      </c>
      <c r="I13" s="48" t="n">
        <v>0</v>
      </c>
      <c r="J13" s="76" t="inlineStr">
        <is>
          <t>PLANNED</t>
        </is>
      </c>
    </row>
    <row r="14">
      <c r="A14" s="6" t="inlineStr">
        <is>
          <t>Alt-Source Qualification — TMP</t>
        </is>
      </c>
      <c r="B14" s="6" t="inlineStr">
        <is>
          <t>EQ-002</t>
        </is>
      </c>
      <c r="C14" s="6" t="inlineStr">
        <is>
          <t>FEL-2</t>
        </is>
      </c>
      <c r="D14" s="6" t="inlineStr">
        <is>
          <t>2025-02-01</t>
        </is>
      </c>
      <c r="E14" s="6" t="inlineStr">
        <is>
          <t>2025-03-01</t>
        </is>
      </c>
      <c r="F14" s="6" t="inlineStr">
        <is>
          <t>2025-06-01 (target)</t>
        </is>
      </c>
      <c r="G14" s="6" t="n">
        <v>1</v>
      </c>
      <c r="H14" s="6" t="inlineStr">
        <is>
          <t>Shimadzu (qualifying)</t>
        </is>
      </c>
      <c r="I14" s="48" t="n">
        <v>0</v>
      </c>
      <c r="J14" s="46" t="inlineStr">
        <is>
          <t>IN QUALIFICATION</t>
        </is>
      </c>
    </row>
    <row r="15">
      <c r="A15" s="6" t="inlineStr">
        <is>
          <t>Alt-Source Qualification — Gas Cabinet</t>
        </is>
      </c>
      <c r="B15" s="6" t="inlineStr">
        <is>
          <t>EQ-007</t>
        </is>
      </c>
      <c r="C15" s="6" t="inlineStr">
        <is>
          <t>FEL-1</t>
        </is>
      </c>
      <c r="D15" s="6" t="inlineStr">
        <is>
          <t>2025-03-01</t>
        </is>
      </c>
      <c r="E15" s="6" t="inlineStr">
        <is>
          <t>TBD</t>
        </is>
      </c>
      <c r="F15" s="6" t="inlineStr">
        <is>
          <t>TBD</t>
        </is>
      </c>
      <c r="G15" s="6" t="n">
        <v>1</v>
      </c>
      <c r="H15" s="6" t="inlineStr">
        <is>
          <t>Matheson Gas (RFQ issued)</t>
        </is>
      </c>
      <c r="I15" s="48" t="n">
        <v>0</v>
      </c>
      <c r="J15" s="46" t="inlineStr">
        <is>
          <t>RFQ ISSUED</t>
        </is>
      </c>
    </row>
    <row r="16">
      <c r="A16" s="6" t="inlineStr">
        <is>
          <t>IT/OT Network Infrastructure</t>
        </is>
      </c>
      <c r="B16" s="6" t="inlineStr">
        <is>
          <t>EQ-009/010 DMZ</t>
        </is>
      </c>
      <c r="C16" s="6" t="inlineStr">
        <is>
          <t>FEL-2</t>
        </is>
      </c>
      <c r="D16" s="6" t="inlineStr">
        <is>
          <t>2025-04-15</t>
        </is>
      </c>
      <c r="E16" s="6" t="inlineStr">
        <is>
          <t>2025-05-01</t>
        </is>
      </c>
      <c r="F16" s="6" t="inlineStr">
        <is>
          <t>2025-06-01 (target)</t>
        </is>
      </c>
      <c r="G16" s="6" t="n">
        <v>3</v>
      </c>
      <c r="H16" s="6" t="inlineStr">
        <is>
          <t>TBD</t>
        </is>
      </c>
      <c r="I16" s="48" t="n">
        <v>0</v>
      </c>
      <c r="J16" s="46" t="inlineStr">
        <is>
          <t>IN PROGRESS</t>
        </is>
      </c>
    </row>
    <row r="19" ht="18" customHeight="1">
      <c r="A19" s="100" t="inlineStr">
        <is>
          <t>SOURCING PIPELINE SUMMARY</t>
        </is>
      </c>
    </row>
    <row r="20">
      <c r="A20" s="6" t="inlineStr">
        <is>
          <t>Total Sourcing Categories</t>
        </is>
      </c>
      <c r="B20" s="49">
        <f>COUNTA(A5:A16)</f>
        <v/>
      </c>
    </row>
    <row r="21">
      <c r="A21" s="6" t="inlineStr">
        <is>
          <t>Categories Awarded</t>
        </is>
      </c>
      <c r="B21" s="49">
        <f>COUNTIF(J5:J16,"AWARDED")</f>
        <v/>
      </c>
    </row>
    <row r="22">
      <c r="A22" s="6" t="inlineStr">
        <is>
          <t>Categories In Progress / Negotiation</t>
        </is>
      </c>
      <c r="B22" s="49">
        <f>COUNTA(A5:A16)-COUNTIF(J5:J16,"AWARDED")</f>
        <v/>
      </c>
    </row>
    <row r="23">
      <c r="A23" s="6" t="inlineStr">
        <is>
          <t>Total Savings vs Budget (USD)</t>
        </is>
      </c>
      <c r="B23" s="50">
        <f>SUM(I5:I16)</f>
        <v/>
      </c>
    </row>
    <row r="24">
      <c r="A24" s="6" t="inlineStr">
        <is>
          <t>Avg Suppliers Bid per Category</t>
        </is>
      </c>
      <c r="B24" s="51">
        <f>AVERAGE(G5:G16)</f>
        <v/>
      </c>
    </row>
  </sheetData>
  <mergeCells count="3">
    <mergeCell ref="A1:J1"/>
    <mergeCell ref="A19:B19"/>
    <mergeCell ref="A2:J2"/>
  </mergeCells>
  <pageMargins left="0.75" right="0.75" top="1" bottom="1" header="0.5" footer="0.5"/>
</worksheet>
</file>

<file path=xl/worksheets/sheet24.xml><?xml version="1.0" encoding="utf-8"?>
<worksheet xmlns="http://schemas.openxmlformats.org/spreadsheetml/2006/main">
  <sheetPr>
    <tabColor rgb="006A1B9A"/>
    <outlinePr summaryBelow="1" summaryRight="1"/>
    <pageSetUpPr/>
  </sheetPr>
  <dimension ref="A1:H19"/>
  <sheetViews>
    <sheetView workbookViewId="0">
      <pane ySplit="5" topLeftCell="A6" activePane="bottomLeft" state="frozen"/>
      <selection pane="bottomLeft" activeCell="A1" sqref="A1"/>
    </sheetView>
  </sheetViews>
  <sheetFormatPr baseColWidth="8" defaultRowHeight="15"/>
  <cols>
    <col width="24" customWidth="1" min="1" max="1"/>
    <col width="20" customWidth="1" min="2" max="2"/>
    <col width="10" customWidth="1" min="3" max="3"/>
    <col width="24" customWidth="1" min="4" max="4"/>
    <col width="18" customWidth="1" min="5" max="5"/>
    <col width="44" customWidth="1" min="6" max="6"/>
    <col width="16" customWidth="1" min="7" max="7"/>
    <col width="46" customWidth="1" min="8" max="8"/>
  </cols>
  <sheetData>
    <row r="1" ht="26" customHeight="1">
      <c r="A1" s="95" t="inlineStr">
        <is>
          <t>S20 — Dual / Multi-Source Strategy — Qualification Status &amp; Risk Reduction</t>
        </is>
      </c>
    </row>
    <row r="2" ht="15" customHeight="1">
      <c r="A2" s="2" t="inlineStr">
        <is>
          <t>Program: Greenfield Expansion Phase II | Owner: Sourabh Tarodekar / Strategic Sourcing | 8 commodities with active or completed dual-source programs | Directly reduces S16 supply chain risk exposure</t>
        </is>
      </c>
    </row>
    <row r="4" ht="30" customHeight="1">
      <c r="A4" s="96" t="inlineStr">
        <is>
          <t>Commodity</t>
        </is>
      </c>
      <c r="B4" s="96" t="inlineStr">
        <is>
          <t>Primary Supplier</t>
        </is>
      </c>
      <c r="C4" s="96" t="inlineStr">
        <is>
          <t>Equip Ref</t>
        </is>
      </c>
      <c r="D4" s="96" t="inlineStr">
        <is>
          <t>Alternate Supplier</t>
        </is>
      </c>
      <c r="E4" s="96" t="inlineStr">
        <is>
          <t>Qualification Status</t>
        </is>
      </c>
      <c r="F4" s="96" t="inlineStr">
        <is>
          <t>Risk Reduction Rationale</t>
        </is>
      </c>
      <c r="G4" s="96" t="inlineStr">
        <is>
          <t>Target Completion</t>
        </is>
      </c>
      <c r="H4" s="96" t="inlineStr">
        <is>
          <t>Notes</t>
        </is>
      </c>
    </row>
    <row r="5">
      <c r="A5" s="6" t="inlineStr">
        <is>
          <t>Turbomolecular Pumps</t>
        </is>
      </c>
      <c r="B5" s="6" t="inlineStr">
        <is>
          <t>Pfeiffer Vacuum</t>
        </is>
      </c>
      <c r="C5" s="6" t="inlineStr">
        <is>
          <t>EQ-002</t>
        </is>
      </c>
      <c r="D5" s="6" t="inlineStr">
        <is>
          <t>Shimadzu Corp (TMP-3203L)</t>
        </is>
      </c>
      <c r="E5" s="46" t="inlineStr">
        <is>
          <t>IN QUALIFICATION</t>
        </is>
      </c>
      <c r="F5" s="8" t="inlineStr">
        <is>
          <t>Eliminates single-source CRITICAL risk on program's highest-risk item</t>
        </is>
      </c>
      <c r="G5" s="6" t="inlineStr">
        <is>
          <t>2025-Q3</t>
        </is>
      </c>
      <c r="H5" s="8" t="inlineStr">
        <is>
          <t>90-day qualification program initiated per CR-007; test units requested</t>
        </is>
      </c>
    </row>
    <row r="6">
      <c r="A6" s="6" t="inlineStr">
        <is>
          <t>Dry Screw Vacuum Pumps</t>
        </is>
      </c>
      <c r="B6" s="6" t="inlineStr">
        <is>
          <t>Edwards Vacuum</t>
        </is>
      </c>
      <c r="C6" s="6" t="inlineStr">
        <is>
          <t>EQ-001</t>
        </is>
      </c>
      <c r="D6" s="6" t="inlineStr">
        <is>
          <t>Busch Vacuum</t>
        </is>
      </c>
      <c r="E6" s="40" t="inlineStr">
        <is>
          <t>AVL — QUALIFIED</t>
        </is>
      </c>
      <c r="F6" s="8" t="inlineStr">
        <is>
          <t>Already-qualified alt reduces post-Brexit logistics exposure</t>
        </is>
      </c>
      <c r="G6" s="6" t="inlineStr">
        <is>
          <t>COMPLETE</t>
        </is>
      </c>
      <c r="H6" s="8" t="inlineStr">
        <is>
          <t>Busch already supplies EQ-013; cross-qualified as backup to Edwards</t>
        </is>
      </c>
    </row>
    <row r="7">
      <c r="A7" s="6" t="inlineStr">
        <is>
          <t>High-Temp Tube Furnaces</t>
        </is>
      </c>
      <c r="B7" s="6" t="inlineStr">
        <is>
          <t>Thermco Systems</t>
        </is>
      </c>
      <c r="C7" s="6" t="inlineStr">
        <is>
          <t>EQ-003</t>
        </is>
      </c>
      <c r="D7" s="6" t="inlineStr">
        <is>
          <t>BTU International</t>
        </is>
      </c>
      <c r="E7" s="40" t="inlineStr">
        <is>
          <t>AVL — QUALIFIED</t>
        </is>
      </c>
      <c r="F7" s="8" t="inlineStr">
        <is>
          <t>Reduces exposure to single furnace OEM for core process step</t>
        </is>
      </c>
      <c r="G7" s="6" t="inlineStr">
        <is>
          <t>COMPLETE</t>
        </is>
      </c>
      <c r="H7" s="8" t="inlineStr">
        <is>
          <t>BTU pre-qualified; compatible process performance confirmed</t>
        </is>
      </c>
    </row>
    <row r="8">
      <c r="A8" s="6" t="inlineStr">
        <is>
          <t>Batch Oxidation Furnaces</t>
        </is>
      </c>
      <c r="B8" s="6" t="inlineStr">
        <is>
          <t>Tokyo Electron Ltd</t>
        </is>
      </c>
      <c r="C8" s="6" t="inlineStr">
        <is>
          <t>EQ-004</t>
        </is>
      </c>
      <c r="D8" s="6" t="inlineStr">
        <is>
          <t>Kokusai Electric</t>
        </is>
      </c>
      <c r="E8" s="40" t="inlineStr">
        <is>
          <t>PRE-QUALIFIED</t>
        </is>
      </c>
      <c r="F8" s="8" t="inlineStr">
        <is>
          <t>Mitigates JPY/TEL concentration risk on second-largest CapEx line</t>
        </is>
      </c>
      <c r="G8" s="6" t="inlineStr">
        <is>
          <t>2025-Q4 (monitoring)</t>
        </is>
      </c>
      <c r="H8" s="8" t="inlineStr">
        <is>
          <t>Pre-qualified but not activated; TEL relationship strategic, monitored not urgent</t>
        </is>
      </c>
    </row>
    <row r="9">
      <c r="A9" s="6" t="inlineStr">
        <is>
          <t>Process Gas Cabinets</t>
        </is>
      </c>
      <c r="B9" s="6" t="inlineStr">
        <is>
          <t>Air Liquide Engineering</t>
        </is>
      </c>
      <c r="C9" s="6" t="inlineStr">
        <is>
          <t>EQ-007</t>
        </is>
      </c>
      <c r="D9" s="6" t="inlineStr">
        <is>
          <t>Matheson Gas</t>
        </is>
      </c>
      <c r="E9" s="75" t="inlineStr">
        <is>
          <t>RFQ ISSUED</t>
        </is>
      </c>
      <c r="F9" s="8" t="inlineStr">
        <is>
          <t>Provides commercial leverage during active EQ-007 negotiation</t>
        </is>
      </c>
      <c r="G9" s="6" t="inlineStr">
        <is>
          <t>2025-Q2</t>
        </is>
      </c>
      <c r="H9" s="8" t="inlineStr">
        <is>
          <t>RFQ issued in parallel with Air Liquide negotiation; pricing/delivery under review</t>
        </is>
      </c>
    </row>
    <row r="10">
      <c r="A10" s="6" t="inlineStr">
        <is>
          <t>Bulk Gas Storage &amp; Delivery</t>
        </is>
      </c>
      <c r="B10" s="6" t="inlineStr">
        <is>
          <t>Linde Engineering</t>
        </is>
      </c>
      <c r="C10" s="6" t="inlineStr">
        <is>
          <t>EQ-008</t>
        </is>
      </c>
      <c r="D10" s="6" t="inlineStr">
        <is>
          <t>Air Products</t>
        </is>
      </c>
      <c r="E10" s="75" t="inlineStr">
        <is>
          <t>RFQ ISSUED</t>
        </is>
      </c>
      <c r="F10" s="8" t="inlineStr">
        <is>
          <t>Commercial leverage; long lead-time category benefits from dual-source</t>
        </is>
      </c>
      <c r="G10" s="6" t="inlineStr">
        <is>
          <t>2025-Q3</t>
        </is>
      </c>
      <c r="H10" s="8" t="inlineStr">
        <is>
          <t>Used as competitive tension during Linde negotiation (closed favorably)</t>
        </is>
      </c>
    </row>
    <row r="11">
      <c r="A11" s="6" t="inlineStr">
        <is>
          <t>SCARA Robots</t>
        </is>
      </c>
      <c r="B11" s="6" t="inlineStr">
        <is>
          <t>Brooks Automation</t>
        </is>
      </c>
      <c r="C11" s="6" t="inlineStr">
        <is>
          <t>EQ-005</t>
        </is>
      </c>
      <c r="D11" s="6" t="inlineStr">
        <is>
          <t>Kawasaki Robotics</t>
        </is>
      </c>
      <c r="E11" s="75" t="inlineStr">
        <is>
          <t>TECHNICAL EVAL</t>
        </is>
      </c>
      <c r="F11" s="8" t="inlineStr">
        <is>
          <t>Reduces dependency on single robotics OEM for material handling</t>
        </is>
      </c>
      <c r="G11" s="6" t="inlineStr">
        <is>
          <t>2025-Q4</t>
        </is>
      </c>
      <c r="H11" s="8" t="inlineStr">
        <is>
          <t>Technical evaluation only; no immediate qualification driver — moderate priority</t>
        </is>
      </c>
    </row>
    <row r="12">
      <c r="A12" s="6" t="inlineStr">
        <is>
          <t>Roots Blower Boosters</t>
        </is>
      </c>
      <c r="B12" s="6" t="inlineStr">
        <is>
          <t>Busch Vacuum</t>
        </is>
      </c>
      <c r="C12" s="6" t="inlineStr">
        <is>
          <t>EQ-013</t>
        </is>
      </c>
      <c r="D12" s="6" t="inlineStr">
        <is>
          <t>Edwards Vacuum</t>
        </is>
      </c>
      <c r="E12" s="40" t="inlineStr">
        <is>
          <t>AVL — QUALIFIED</t>
        </is>
      </c>
      <c r="F12" s="8" t="inlineStr">
        <is>
          <t>Mutual cross-qualification with EQ-001 Edwards / EQ-013 Busch pairing</t>
        </is>
      </c>
      <c r="G12" s="6" t="inlineStr">
        <is>
          <t>COMPLETE</t>
        </is>
      </c>
      <c r="H12" s="8" t="inlineStr">
        <is>
          <t>Edwards and Busch mutually qualified as alternates across both platforms</t>
        </is>
      </c>
    </row>
    <row r="15" ht="18" customHeight="1">
      <c r="A15" s="100" t="inlineStr">
        <is>
          <t>DUAL-SOURCE PROGRAM IMPACT SUMMARY</t>
        </is>
      </c>
    </row>
    <row r="16">
      <c r="A16" s="6" t="inlineStr">
        <is>
          <t>Commodities with Dual-Source Program</t>
        </is>
      </c>
      <c r="B16" s="49">
        <f>COUNTA(A5:A12)</f>
        <v/>
      </c>
    </row>
    <row r="17">
      <c r="A17" s="6" t="inlineStr">
        <is>
          <t>Qualified / AVL-Ready Alternates</t>
        </is>
      </c>
      <c r="B17" s="49">
        <f>COUNTIF(E5:E12,"AVL — QUALIFIED")</f>
        <v/>
      </c>
    </row>
    <row r="18">
      <c r="A18" s="6" t="inlineStr">
        <is>
          <t>Active Qualification Programs</t>
        </is>
      </c>
      <c r="B18" s="49">
        <f>COUNTIF(E5:E12,"IN QUALIFICATION")+COUNTIF(E5:E12,"PRE-QUALIFIED")</f>
        <v/>
      </c>
    </row>
    <row r="19">
      <c r="A19" s="6" t="inlineStr">
        <is>
          <t>RFQ / Early-Stage Programs</t>
        </is>
      </c>
      <c r="B19" s="49">
        <f>COUNTIF(E5:E12,"RFQ ISSUED")+COUNTIF(E5:E12,"TECHNICAL EVAL")</f>
        <v/>
      </c>
    </row>
  </sheetData>
  <mergeCells count="3">
    <mergeCell ref="A2:H2"/>
    <mergeCell ref="A15:B15"/>
    <mergeCell ref="A1:H1"/>
  </mergeCells>
  <pageMargins left="0.75" right="0.75" top="1" bottom="1" header="0.5" footer="0.5"/>
</worksheet>
</file>

<file path=xl/worksheets/sheet25.xml><?xml version="1.0" encoding="utf-8"?>
<worksheet xmlns="http://schemas.openxmlformats.org/spreadsheetml/2006/main">
  <sheetPr>
    <tabColor rgb="006A1B9A"/>
    <outlinePr summaryBelow="1" summaryRight="1"/>
    <pageSetUpPr/>
  </sheetPr>
  <dimension ref="A1:P21"/>
  <sheetViews>
    <sheetView workbookViewId="0">
      <pane ySplit="5" topLeftCell="A6" activePane="bottomLeft" state="frozen"/>
      <selection pane="bottomLeft" activeCell="A1" sqref="A1"/>
    </sheetView>
  </sheetViews>
  <sheetFormatPr baseColWidth="8" defaultRowHeight="15"/>
  <cols>
    <col width="8" customWidth="1" min="1" max="1"/>
    <col width="20" customWidth="1" min="2" max="2"/>
    <col width="20" customWidth="1" min="3" max="3"/>
    <col width="13" customWidth="1" min="4" max="4"/>
    <col width="20" customWidth="1" min="5" max="5"/>
    <col width="10" customWidth="1" min="6" max="6"/>
    <col width="14" customWidth="1" min="7" max="7"/>
    <col width="13" customWidth="1" min="8" max="8"/>
    <col width="14" customWidth="1" min="9" max="9"/>
    <col width="13" customWidth="1" min="10" max="10"/>
    <col width="34" customWidth="1" min="11" max="11"/>
    <col width="30" customWidth="1" min="12" max="12"/>
    <col width="13" customWidth="1" min="13" max="13"/>
    <col width="12" customWidth="1" min="14" max="14"/>
    <col width="10" customWidth="1" min="15" max="15"/>
    <col width="18" customWidth="1" min="16" max="16"/>
  </cols>
  <sheetData>
    <row r="1" ht="26" customHeight="1">
      <c r="A1" s="95" t="inlineStr">
        <is>
          <t>S21 — Negotiation Tracker — Commercial Negotiation Log &amp; Savings Portfolio</t>
        </is>
      </c>
    </row>
    <row r="2" ht="15" customHeight="1">
      <c r="A2" s="2" t="inlineStr">
        <is>
          <t>Tracks all active and completed negotiations | Owner: Sourabh Tarodekar | BATNA = Best Alternative to Negotiated Agreement | Feeds S19 Strategic Sourcing Pipeline</t>
        </is>
      </c>
    </row>
    <row r="4" ht="30" customHeight="1">
      <c r="A4" s="96" t="inlineStr">
        <is>
          <t>Neg ID</t>
        </is>
      </c>
      <c r="B4" s="96" t="inlineStr">
        <is>
          <t>Supplier</t>
        </is>
      </c>
      <c r="C4" s="96" t="inlineStr">
        <is>
          <t>Category</t>
        </is>
      </c>
      <c r="D4" s="96" t="inlineStr">
        <is>
          <t>Contract Value</t>
        </is>
      </c>
      <c r="E4" s="96" t="inlineStr">
        <is>
          <t>Neg Type</t>
        </is>
      </c>
      <c r="F4" s="96" t="inlineStr">
        <is>
          <t>Start</t>
        </is>
      </c>
      <c r="G4" s="96" t="inlineStr">
        <is>
          <t>Close</t>
        </is>
      </c>
      <c r="H4" s="96" t="inlineStr">
        <is>
          <t>Initial Quote (USD)</t>
        </is>
      </c>
      <c r="I4" s="96" t="inlineStr">
        <is>
          <t>Internal Target (USD)</t>
        </is>
      </c>
      <c r="J4" s="96" t="inlineStr">
        <is>
          <t>Walk-Away (USD)</t>
        </is>
      </c>
      <c r="K4" s="96" t="inlineStr">
        <is>
          <t>Key Leverage</t>
        </is>
      </c>
      <c r="L4" s="96" t="inlineStr">
        <is>
          <t>BATNA</t>
        </is>
      </c>
      <c r="M4" s="96" t="inlineStr">
        <is>
          <t>Final Agreed (USD)</t>
        </is>
      </c>
      <c r="N4" s="96" t="inlineStr">
        <is>
          <t>Savings (USD)</t>
        </is>
      </c>
      <c r="O4" s="96" t="inlineStr">
        <is>
          <t>Savings %</t>
        </is>
      </c>
      <c r="P4" s="96" t="inlineStr">
        <is>
          <t>Status</t>
        </is>
      </c>
    </row>
    <row r="5">
      <c r="A5" s="6" t="inlineStr">
        <is>
          <t>N-001</t>
        </is>
      </c>
      <c r="B5" s="6" t="inlineStr">
        <is>
          <t>Pfeiffer Vacuum</t>
        </is>
      </c>
      <c r="C5" s="6" t="inlineStr">
        <is>
          <t>TMP Systems (EQ-002)</t>
        </is>
      </c>
      <c r="D5" s="31" t="n">
        <v>930000</v>
      </c>
      <c r="E5" s="6" t="inlineStr">
        <is>
          <t>Initial Award</t>
        </is>
      </c>
      <c r="F5" s="6" t="inlineStr">
        <is>
          <t>2024-Q4</t>
        </is>
      </c>
      <c r="G5" s="6" t="inlineStr">
        <is>
          <t>2025-Q1</t>
        </is>
      </c>
      <c r="H5" s="48" t="n">
        <v>975000</v>
      </c>
      <c r="I5" s="48" t="n">
        <v>920000</v>
      </c>
      <c r="J5" s="48" t="n">
        <v>1000000</v>
      </c>
      <c r="K5" s="8" t="inlineStr">
        <is>
          <t>Single-source risk acknowledged; Shimadzu qual threat</t>
        </is>
      </c>
      <c r="L5" s="8" t="inlineStr">
        <is>
          <t>Shimadzu TMP-3203L qualification</t>
        </is>
      </c>
      <c r="M5" s="48" t="n">
        <v>930000</v>
      </c>
      <c r="N5" s="31">
        <f>H5-M5</f>
        <v/>
      </c>
      <c r="O5" s="32">
        <f>N5/H5</f>
        <v/>
      </c>
      <c r="P5" s="40" t="inlineStr">
        <is>
          <t>CLOSED</t>
        </is>
      </c>
    </row>
    <row r="6">
      <c r="A6" s="6" t="inlineStr">
        <is>
          <t>N-002</t>
        </is>
      </c>
      <c r="B6" s="6" t="inlineStr">
        <is>
          <t>Thermco Systems</t>
        </is>
      </c>
      <c r="C6" s="6" t="inlineStr">
        <is>
          <t>Tube Furnaces (EQ-003)</t>
        </is>
      </c>
      <c r="D6" s="31" t="n">
        <v>1040000</v>
      </c>
      <c r="E6" s="6" t="inlineStr">
        <is>
          <t>Competitive Award</t>
        </is>
      </c>
      <c r="F6" s="6" t="inlineStr">
        <is>
          <t>2024-Q3</t>
        </is>
      </c>
      <c r="G6" s="6" t="inlineStr">
        <is>
          <t>2024-Q4</t>
        </is>
      </c>
      <c r="H6" s="48" t="n">
        <v>1122000</v>
      </c>
      <c r="I6" s="48" t="n">
        <v>1030000</v>
      </c>
      <c r="J6" s="48" t="n">
        <v>1180000</v>
      </c>
      <c r="K6" s="8" t="inlineStr">
        <is>
          <t>BTU International valid alt; multi-unit volume</t>
        </is>
      </c>
      <c r="L6" s="8" t="inlineStr">
        <is>
          <t>BTU International — pre-qualified</t>
        </is>
      </c>
      <c r="M6" s="48" t="n">
        <v>1040000</v>
      </c>
      <c r="N6" s="31">
        <f>H6-M6</f>
        <v/>
      </c>
      <c r="O6" s="32">
        <f>N6/H6</f>
        <v/>
      </c>
      <c r="P6" s="40" t="inlineStr">
        <is>
          <t>CLOSED</t>
        </is>
      </c>
    </row>
    <row r="7">
      <c r="A7" s="6" t="inlineStr">
        <is>
          <t>N-003</t>
        </is>
      </c>
      <c r="B7" s="6" t="inlineStr">
        <is>
          <t>Applied Materials</t>
        </is>
      </c>
      <c r="C7" s="6" t="inlineStr">
        <is>
          <t>RTP Tool (EQ-014)</t>
        </is>
      </c>
      <c r="D7" s="31" t="n">
        <v>1750000</v>
      </c>
      <c r="E7" s="6" t="inlineStr">
        <is>
          <t>Strategic Negotiation</t>
        </is>
      </c>
      <c r="F7" s="6" t="inlineStr">
        <is>
          <t>2024-Q2</t>
        </is>
      </c>
      <c r="G7" s="6" t="inlineStr">
        <is>
          <t>2025-Q1</t>
        </is>
      </c>
      <c r="H7" s="48" t="n">
        <v>1875000</v>
      </c>
      <c r="I7" s="48" t="n">
        <v>1720000</v>
      </c>
      <c r="J7" s="48" t="n">
        <v>1900000</v>
      </c>
      <c r="K7" s="8" t="inlineStr">
        <is>
          <t>Multi-unit commitment (2 units); Phase III expansion signal</t>
        </is>
      </c>
      <c r="L7" s="8" t="inlineStr">
        <is>
          <t>TEL — RTP alternative evaluated</t>
        </is>
      </c>
      <c r="M7" s="48" t="n">
        <v>1750000</v>
      </c>
      <c r="N7" s="31">
        <f>H7-M7</f>
        <v/>
      </c>
      <c r="O7" s="32">
        <f>N7/H7</f>
        <v/>
      </c>
      <c r="P7" s="40" t="inlineStr">
        <is>
          <t>CLOSED</t>
        </is>
      </c>
    </row>
    <row r="8">
      <c r="A8" s="6" t="inlineStr">
        <is>
          <t>N-004</t>
        </is>
      </c>
      <c r="B8" s="6" t="inlineStr">
        <is>
          <t>Brooks Automation</t>
        </is>
      </c>
      <c r="C8" s="6" t="inlineStr">
        <is>
          <t>SCARA Robots (EQ-005)</t>
        </is>
      </c>
      <c r="D8" s="31" t="n">
        <v>1650000</v>
      </c>
      <c r="E8" s="6" t="inlineStr">
        <is>
          <t>Competitive Award</t>
        </is>
      </c>
      <c r="F8" s="6" t="inlineStr">
        <is>
          <t>2024-Q3</t>
        </is>
      </c>
      <c r="G8" s="6" t="inlineStr">
        <is>
          <t>2024-Q4</t>
        </is>
      </c>
      <c r="H8" s="48" t="n">
        <v>1745000</v>
      </c>
      <c r="I8" s="48" t="n">
        <v>1630000</v>
      </c>
      <c r="J8" s="48" t="n">
        <v>1800000</v>
      </c>
      <c r="K8" s="8" t="inlineStr">
        <is>
          <t>6-unit volume; Kawasaki technical evaluation in parallel</t>
        </is>
      </c>
      <c r="L8" s="8" t="inlineStr">
        <is>
          <t>Kawasaki Robotics — technical eval</t>
        </is>
      </c>
      <c r="M8" s="48" t="n">
        <v>1650000</v>
      </c>
      <c r="N8" s="31">
        <f>H8-M8</f>
        <v/>
      </c>
      <c r="O8" s="32">
        <f>N8/H8</f>
        <v/>
      </c>
      <c r="P8" s="40" t="inlineStr">
        <is>
          <t>CLOSED</t>
        </is>
      </c>
    </row>
    <row r="9">
      <c r="A9" s="6" t="inlineStr">
        <is>
          <t>N-005</t>
        </is>
      </c>
      <c r="B9" s="6" t="inlineStr">
        <is>
          <t>Siemens AG</t>
        </is>
      </c>
      <c r="C9" s="6" t="inlineStr">
        <is>
          <t>DCS Platform (EQ-009)</t>
        </is>
      </c>
      <c r="D9" s="31" t="n">
        <v>825000</v>
      </c>
      <c r="E9" s="6" t="inlineStr">
        <is>
          <t>LTA Renewal</t>
        </is>
      </c>
      <c r="F9" s="6" t="inlineStr">
        <is>
          <t>2023-Q4</t>
        </is>
      </c>
      <c r="G9" s="6" t="inlineStr">
        <is>
          <t>2024-Q1</t>
        </is>
      </c>
      <c r="H9" s="48" t="n">
        <v>880000</v>
      </c>
      <c r="I9" s="48" t="n">
        <v>810000</v>
      </c>
      <c r="J9" s="48" t="n">
        <v>920000</v>
      </c>
      <c r="K9" s="8" t="inlineStr">
        <is>
          <t>Existing relationship; Phase II expansion commitment; SCADA alt</t>
        </is>
      </c>
      <c r="L9" s="8" t="inlineStr">
        <is>
          <t>Rockwell Automation as alt DCS</t>
        </is>
      </c>
      <c r="M9" s="48" t="n">
        <v>825000</v>
      </c>
      <c r="N9" s="31">
        <f>H9-M9</f>
        <v/>
      </c>
      <c r="O9" s="32">
        <f>N9/H9</f>
        <v/>
      </c>
      <c r="P9" s="40" t="inlineStr">
        <is>
          <t>CLOSED — LTA active</t>
        </is>
      </c>
    </row>
    <row r="10">
      <c r="A10" s="6" t="inlineStr">
        <is>
          <t>N-006</t>
        </is>
      </c>
      <c r="B10" s="6" t="inlineStr">
        <is>
          <t>Air Liquide Eng.</t>
        </is>
      </c>
      <c r="C10" s="6" t="inlineStr">
        <is>
          <t>Gas Cabinets (EQ-007)</t>
        </is>
      </c>
      <c r="D10" s="6" t="inlineStr">
        <is>
          <t>TBC (target)</t>
        </is>
      </c>
      <c r="E10" s="6" t="inlineStr">
        <is>
          <t>Active Negotiation</t>
        </is>
      </c>
      <c r="F10" s="6" t="inlineStr">
        <is>
          <t>2025-Q1</t>
        </is>
      </c>
      <c r="G10" s="6" t="inlineStr">
        <is>
          <t>2025-Q2 target</t>
        </is>
      </c>
      <c r="H10" s="48" t="n">
        <v>840000</v>
      </c>
      <c r="I10" s="48" t="n">
        <v>760000</v>
      </c>
      <c r="J10" s="48" t="n">
        <v>850000</v>
      </c>
      <c r="K10" s="8" t="inlineStr">
        <is>
          <t>Matheson Gas RFQ in parallel; hazmat permit dependency</t>
        </is>
      </c>
      <c r="L10" s="8" t="inlineStr">
        <is>
          <t>Matheson Gas — RFQ issued parallel</t>
        </is>
      </c>
      <c r="M10" s="6" t="inlineStr">
        <is>
          <t>TBC</t>
        </is>
      </c>
      <c r="N10" s="6" t="inlineStr">
        <is>
          <t>TBC</t>
        </is>
      </c>
      <c r="O10" s="6" t="inlineStr">
        <is>
          <t>TBC</t>
        </is>
      </c>
      <c r="P10" s="46" t="inlineStr">
        <is>
          <t>IN NEGOTIATION</t>
        </is>
      </c>
    </row>
    <row r="11">
      <c r="A11" s="6" t="inlineStr">
        <is>
          <t>N-007</t>
        </is>
      </c>
      <c r="B11" s="6" t="inlineStr">
        <is>
          <t>Linde Engineering</t>
        </is>
      </c>
      <c r="C11" s="6" t="inlineStr">
        <is>
          <t>Bulk Gas (EQ-008)</t>
        </is>
      </c>
      <c r="D11" s="31" t="n">
        <v>340000</v>
      </c>
      <c r="E11" s="6" t="inlineStr">
        <is>
          <t>Competitive Award</t>
        </is>
      </c>
      <c r="F11" s="6" t="inlineStr">
        <is>
          <t>2024-Q4</t>
        </is>
      </c>
      <c r="G11" s="6" t="inlineStr">
        <is>
          <t>2025-Q1</t>
        </is>
      </c>
      <c r="H11" s="48" t="n">
        <v>362000</v>
      </c>
      <c r="I11" s="48" t="n">
        <v>330000</v>
      </c>
      <c r="J11" s="48" t="n">
        <v>380000</v>
      </c>
      <c r="K11" s="8" t="inlineStr">
        <is>
          <t>Existing site contract leverage; 32-wk LT accepted</t>
        </is>
      </c>
      <c r="L11" s="8" t="inlineStr">
        <is>
          <t>Air Products — RFQ issued</t>
        </is>
      </c>
      <c r="M11" s="48" t="n">
        <v>340000</v>
      </c>
      <c r="N11" s="31">
        <f>H11-M11</f>
        <v/>
      </c>
      <c r="O11" s="32">
        <f>N11/H11</f>
        <v/>
      </c>
      <c r="P11" s="40" t="inlineStr">
        <is>
          <t>CLOSED</t>
        </is>
      </c>
    </row>
    <row r="12">
      <c r="A12" s="6" t="inlineStr">
        <is>
          <t>N-008</t>
        </is>
      </c>
      <c r="B12" s="6" t="inlineStr">
        <is>
          <t>Edwards Vacuum</t>
        </is>
      </c>
      <c r="C12" s="6" t="inlineStr">
        <is>
          <t>Dry Screw Pumps (EQ-001)</t>
        </is>
      </c>
      <c r="D12" s="31" t="n">
        <v>740000</v>
      </c>
      <c r="E12" s="6" t="inlineStr">
        <is>
          <t>Competitive — Dual Source</t>
        </is>
      </c>
      <c r="F12" s="6" t="inlineStr">
        <is>
          <t>2024-Q4</t>
        </is>
      </c>
      <c r="G12" s="6" t="inlineStr">
        <is>
          <t>2025-Q1</t>
        </is>
      </c>
      <c r="H12" s="48" t="n">
        <v>788000</v>
      </c>
      <c r="I12" s="48" t="n">
        <v>725000</v>
      </c>
      <c r="J12" s="48" t="n">
        <v>810000</v>
      </c>
      <c r="K12" s="8" t="inlineStr">
        <is>
          <t>Busch as dual-source alt; volume split threat</t>
        </is>
      </c>
      <c r="L12" s="8" t="inlineStr">
        <is>
          <t>Busch Vacuum — already qualified</t>
        </is>
      </c>
      <c r="M12" s="48" t="n">
        <v>740000</v>
      </c>
      <c r="N12" s="31">
        <f>H12-M12</f>
        <v/>
      </c>
      <c r="O12" s="32">
        <f>N12/H12</f>
        <v/>
      </c>
      <c r="P12" s="40" t="inlineStr">
        <is>
          <t>CLOSED</t>
        </is>
      </c>
    </row>
    <row r="13">
      <c r="A13" s="6" t="inlineStr">
        <is>
          <t>N-009</t>
        </is>
      </c>
      <c r="B13" s="6" t="inlineStr">
        <is>
          <t>Daikin Applied</t>
        </is>
      </c>
      <c r="C13" s="6" t="inlineStr">
        <is>
          <t>Process Chillers (EQ-012)</t>
        </is>
      </c>
      <c r="D13" s="31" t="n">
        <v>885000</v>
      </c>
      <c r="E13" s="6" t="inlineStr">
        <is>
          <t>Competitive Award</t>
        </is>
      </c>
      <c r="F13" s="6" t="inlineStr">
        <is>
          <t>2024-Q4</t>
        </is>
      </c>
      <c r="G13" s="6" t="inlineStr">
        <is>
          <t>2025-Q1</t>
        </is>
      </c>
      <c r="H13" s="48" t="n">
        <v>926000</v>
      </c>
      <c r="I13" s="48" t="n">
        <v>870000</v>
      </c>
      <c r="J13" s="48" t="n">
        <v>950000</v>
      </c>
      <c r="K13" s="8" t="inlineStr">
        <is>
          <t>Carrier as competitive alt; glycol loop specification leverage</t>
        </is>
      </c>
      <c r="L13" s="8" t="inlineStr">
        <is>
          <t>Carrier Corporation</t>
        </is>
      </c>
      <c r="M13" s="48" t="n">
        <v>885000</v>
      </c>
      <c r="N13" s="31">
        <f>H13-M13</f>
        <v/>
      </c>
      <c r="O13" s="32">
        <f>N13/H13</f>
        <v/>
      </c>
      <c r="P13" s="40" t="inlineStr">
        <is>
          <t>CLOSED</t>
        </is>
      </c>
    </row>
    <row r="14">
      <c r="A14" s="6" t="inlineStr">
        <is>
          <t>N-010</t>
        </is>
      </c>
      <c r="B14" s="6" t="inlineStr">
        <is>
          <t>Mobile Industrial Robots</t>
        </is>
      </c>
      <c r="C14" s="6" t="inlineStr">
        <is>
          <t>AMR Fleet (EQ-015)</t>
        </is>
      </c>
      <c r="D14" s="31" t="n">
        <v>380000</v>
      </c>
      <c r="E14" s="6" t="inlineStr">
        <is>
          <t>Competitive Award</t>
        </is>
      </c>
      <c r="F14" s="6" t="inlineStr">
        <is>
          <t>2024-Q4</t>
        </is>
      </c>
      <c r="G14" s="6" t="inlineStr">
        <is>
          <t>2025-Q1</t>
        </is>
      </c>
      <c r="H14" s="48" t="n">
        <v>404000</v>
      </c>
      <c r="I14" s="48" t="n">
        <v>370000</v>
      </c>
      <c r="J14" s="48" t="n">
        <v>420000</v>
      </c>
      <c r="K14" s="8" t="inlineStr">
        <is>
          <t>Locus Robotics and Omron in parallel eval; fleet SW requirement</t>
        </is>
      </c>
      <c r="L14" s="8" t="inlineStr">
        <is>
          <t>Omron AMR — evaluated but lower capability</t>
        </is>
      </c>
      <c r="M14" s="48" t="n">
        <v>380000</v>
      </c>
      <c r="N14" s="31">
        <f>H14-M14</f>
        <v/>
      </c>
      <c r="O14" s="32">
        <f>N14/H14</f>
        <v/>
      </c>
      <c r="P14" s="40" t="inlineStr">
        <is>
          <t>CLOSED</t>
        </is>
      </c>
    </row>
    <row r="17" ht="18" customHeight="1">
      <c r="A17" s="100" t="inlineStr">
        <is>
          <t>SAVINGS PORTFOLIO SUMMARY</t>
        </is>
      </c>
    </row>
    <row r="18">
      <c r="A18" s="6" t="inlineStr">
        <is>
          <t>Total Negotiations Logged</t>
        </is>
      </c>
      <c r="B18" s="49">
        <f>COUNTA(A5:A14)</f>
        <v/>
      </c>
    </row>
    <row r="19">
      <c r="A19" s="6" t="inlineStr">
        <is>
          <t>Closed Negotiations</t>
        </is>
      </c>
      <c r="B19" s="49">
        <f>COUNTIF(P5:P14,"CLOSED")+COUNTIF(P5:P14,"CLOSED — LTA active")</f>
        <v/>
      </c>
    </row>
    <row r="20">
      <c r="A20" s="6" t="inlineStr">
        <is>
          <t>Total Confirmed Savings (Closed Negotiations, USD)</t>
        </is>
      </c>
      <c r="B20" s="50">
        <f>SUMIF(P5:P14,"CLOSED",N5:N14)+SUMIF(P5:P14,"CLOSED — LTA active",N5:N14)</f>
        <v/>
      </c>
    </row>
    <row r="21">
      <c r="A21" s="6" t="inlineStr">
        <is>
          <t>Average Savings % (vs Initial Quote, Closed Only)</t>
        </is>
      </c>
      <c r="B21" s="101">
        <f>AVERAGEIF(P5:P14,"CLOSED",O5:O14)</f>
        <v/>
      </c>
    </row>
  </sheetData>
  <mergeCells count="3">
    <mergeCell ref="A1:P1"/>
    <mergeCell ref="A17:B17"/>
    <mergeCell ref="A2:P2"/>
  </mergeCells>
  <pageMargins left="0.75" right="0.75" top="1" bottom="1" header="0.5" footer="0.5"/>
</worksheet>
</file>

<file path=xl/worksheets/sheet26.xml><?xml version="1.0" encoding="utf-8"?>
<worksheet xmlns="http://schemas.openxmlformats.org/spreadsheetml/2006/main">
  <sheetPr>
    <tabColor rgb="006A1B9A"/>
    <outlinePr summaryBelow="1" summaryRight="1"/>
    <pageSetUpPr/>
  </sheetPr>
  <dimension ref="A1:N19"/>
  <sheetViews>
    <sheetView workbookViewId="0">
      <pane ySplit="5" topLeftCell="A6" activePane="bottomLeft" state="frozen"/>
      <selection pane="bottomLeft" activeCell="A1" sqref="A1"/>
    </sheetView>
  </sheetViews>
  <sheetFormatPr baseColWidth="8" defaultRowHeight="15"/>
  <cols>
    <col width="9" customWidth="1" min="1" max="1"/>
    <col width="22" customWidth="1" min="2" max="2"/>
    <col width="26" customWidth="1" min="3" max="3"/>
    <col width="16" customWidth="1" min="4" max="4"/>
    <col width="14" customWidth="1" min="5" max="5"/>
    <col width="14" customWidth="1" min="6" max="6"/>
    <col width="20" customWidth="1" min="7" max="7"/>
    <col width="13" customWidth="1" min="8" max="8"/>
    <col width="14" customWidth="1" min="9" max="9"/>
    <col width="7" customWidth="1" min="10" max="10"/>
    <col width="14" customWidth="1" min="11" max="11"/>
    <col width="14" customWidth="1" min="12" max="12"/>
    <col width="26" customWidth="1" min="13" max="13"/>
    <col width="48" customWidth="1" min="14" max="14"/>
  </cols>
  <sheetData>
    <row r="1" ht="26" customHeight="1">
      <c r="A1" s="95" t="inlineStr">
        <is>
          <t>S22 — Supplier Capacity Assessment — Program Demand vs Supplier Available Capacity</t>
        </is>
      </c>
    </row>
    <row r="2" ht="15" customHeight="1">
      <c r="A2" s="2" t="inlineStr">
        <is>
          <t>Identifies capacity concentration risk at supplier level | Owner: Sourabh Tarodekar | Complements S10 Capacity Planning (equipment-side view) with a supply-side capacity view</t>
        </is>
      </c>
    </row>
    <row r="4" ht="30" customHeight="1">
      <c r="A4" s="96" t="inlineStr">
        <is>
          <t>Equip Ref</t>
        </is>
      </c>
      <c r="B4" s="96" t="inlineStr">
        <is>
          <t>Supplier</t>
        </is>
      </c>
      <c r="C4" s="96" t="inlineStr">
        <is>
          <t>Component</t>
        </is>
      </c>
      <c r="D4" s="96" t="inlineStr">
        <is>
          <t>Est. Supplier Annual Capacity (units/yr)</t>
        </is>
      </c>
      <c r="E4" s="96" t="inlineStr">
        <is>
          <t>Program Volume Required (units/yr)</t>
        </is>
      </c>
      <c r="F4" s="96" t="inlineStr">
        <is>
          <t>% of Supplier Capacity Consumed</t>
        </is>
      </c>
      <c r="G4" s="96" t="inlineStr">
        <is>
          <t>Capacity Constraint Risk</t>
        </is>
      </c>
      <c r="H4" s="96" t="inlineStr">
        <is>
          <t>Lead Time to Add'l Capacity (wks)</t>
        </is>
      </c>
      <c r="I4" s="96" t="inlineStr">
        <is>
          <t>Flex Capacity Available (units)</t>
        </is>
      </c>
      <c r="J4" s="96" t="inlineStr">
        <is>
          <t>MOQ</t>
        </is>
      </c>
      <c r="K4" s="96" t="inlineStr">
        <is>
          <t>Order Frequency</t>
        </is>
      </c>
      <c r="L4" s="96" t="inlineStr">
        <is>
          <t>Safety Stock Coverage (wks)</t>
        </is>
      </c>
      <c r="M4" s="96" t="inlineStr">
        <is>
          <t>Buffer Recommendation</t>
        </is>
      </c>
      <c r="N4" s="96" t="inlineStr">
        <is>
          <t>Notes</t>
        </is>
      </c>
    </row>
    <row r="5">
      <c r="A5" s="6" t="inlineStr">
        <is>
          <t>EQ-001</t>
        </is>
      </c>
      <c r="B5" s="6" t="inlineStr">
        <is>
          <t>Edwards Vacuum</t>
        </is>
      </c>
      <c r="C5" s="6" t="inlineStr">
        <is>
          <t>Dry Screw Vacuum Pumps</t>
        </is>
      </c>
      <c r="D5" s="65" t="n">
        <v>120</v>
      </c>
      <c r="E5" s="43" t="n">
        <v>4</v>
      </c>
      <c r="F5" s="32">
        <f>E5/D5</f>
        <v/>
      </c>
      <c r="G5" s="40" t="inlineStr">
        <is>
          <t>LOW</t>
        </is>
      </c>
      <c r="H5" s="43" t="n">
        <v>16</v>
      </c>
      <c r="I5" s="6" t="n">
        <v>20</v>
      </c>
      <c r="J5" s="43" t="n">
        <v>1</v>
      </c>
      <c r="K5" s="6" t="inlineStr">
        <is>
          <t>Per program</t>
        </is>
      </c>
      <c r="L5" s="6" t="n">
        <v>8</v>
      </c>
      <c r="M5" s="8" t="inlineStr">
        <is>
          <t>2-unit buffer on-site</t>
        </is>
      </c>
      <c r="N5" s="8" t="inlineStr">
        <is>
          <t>Edwards produces ~120 units/yr globally; 4 units = low concentration</t>
        </is>
      </c>
    </row>
    <row r="6">
      <c r="A6" s="6" t="inlineStr">
        <is>
          <t>EQ-002</t>
        </is>
      </c>
      <c r="B6" s="6" t="inlineStr">
        <is>
          <t>Pfeiffer Vacuum</t>
        </is>
      </c>
      <c r="C6" s="6" t="inlineStr">
        <is>
          <t>Turbomolecular Pumps</t>
        </is>
      </c>
      <c r="D6" s="65" t="n">
        <v>60</v>
      </c>
      <c r="E6" s="43" t="n">
        <v>3</v>
      </c>
      <c r="F6" s="32">
        <f>E6/D6</f>
        <v/>
      </c>
      <c r="G6" s="73" t="inlineStr">
        <is>
          <t>HIGH</t>
        </is>
      </c>
      <c r="H6" s="43" t="n">
        <v>18</v>
      </c>
      <c r="I6" s="6" t="n">
        <v>10</v>
      </c>
      <c r="J6" s="43" t="n">
        <v>1</v>
      </c>
      <c r="K6" s="6" t="inlineStr">
        <is>
          <t>Per program</t>
        </is>
      </c>
      <c r="L6" s="6" t="n">
        <v>12</v>
      </c>
      <c r="M6" s="8" t="inlineStr">
        <is>
          <t>2-unit safety stock critical</t>
        </is>
      </c>
      <c r="N6" s="8" t="inlineStr">
        <is>
          <t>Pfeiffer TMP production ~60 units/yr globally; 3 units = 5% of output. Supply constraint at volume. Alt qualification essential.</t>
        </is>
      </c>
    </row>
    <row r="7">
      <c r="A7" s="6" t="inlineStr">
        <is>
          <t>EQ-003</t>
        </is>
      </c>
      <c r="B7" s="6" t="inlineStr">
        <is>
          <t>Thermco Systems</t>
        </is>
      </c>
      <c r="C7" s="6" t="inlineStr">
        <is>
          <t>High-Temp Tube Furnaces</t>
        </is>
      </c>
      <c r="D7" s="65" t="n">
        <v>45</v>
      </c>
      <c r="E7" s="43" t="n">
        <v>2</v>
      </c>
      <c r="F7" s="32">
        <f>E7/D7</f>
        <v/>
      </c>
      <c r="G7" s="46" t="inlineStr">
        <is>
          <t>LOW-MOD</t>
        </is>
      </c>
      <c r="H7" s="43" t="n">
        <v>20</v>
      </c>
      <c r="I7" s="6" t="n">
        <v>8</v>
      </c>
      <c r="J7" s="43" t="n">
        <v>1</v>
      </c>
      <c r="K7" s="6" t="inlineStr">
        <is>
          <t>Per program</t>
        </is>
      </c>
      <c r="L7" s="6" t="n">
        <v>10</v>
      </c>
      <c r="M7" s="8" t="inlineStr">
        <is>
          <t>1 spare hot-zone set</t>
        </is>
      </c>
      <c r="N7" s="8" t="inlineStr">
        <is>
          <t>Thermco capacity adequate; BTU alt available</t>
        </is>
      </c>
    </row>
    <row r="8">
      <c r="A8" s="6" t="inlineStr">
        <is>
          <t>EQ-004</t>
        </is>
      </c>
      <c r="B8" s="6" t="inlineStr">
        <is>
          <t>Tokyo Electron Ltd</t>
        </is>
      </c>
      <c r="C8" s="6" t="inlineStr">
        <is>
          <t>Batch Oxidation Furnaces</t>
        </is>
      </c>
      <c r="D8" s="65" t="n">
        <v>150</v>
      </c>
      <c r="E8" s="43" t="n">
        <v>2</v>
      </c>
      <c r="F8" s="32">
        <f>E8/D8</f>
        <v/>
      </c>
      <c r="G8" s="40" t="inlineStr">
        <is>
          <t>LOW</t>
        </is>
      </c>
      <c r="H8" s="43" t="n">
        <v>24</v>
      </c>
      <c r="I8" s="6" t="n">
        <v>15</v>
      </c>
      <c r="J8" s="43" t="n">
        <v>1</v>
      </c>
      <c r="K8" s="6" t="inlineStr">
        <is>
          <t>Per program</t>
        </is>
      </c>
      <c r="L8" s="6" t="n">
        <v>14</v>
      </c>
      <c r="M8" s="8" t="inlineStr">
        <is>
          <t>Coordinated with TEL FSE</t>
        </is>
      </c>
      <c r="N8" s="8" t="inlineStr">
        <is>
          <t>TEL large OEM; 2 units = minimal fraction of global capacity</t>
        </is>
      </c>
    </row>
    <row r="9">
      <c r="A9" s="6" t="inlineStr">
        <is>
          <t>EQ-005</t>
        </is>
      </c>
      <c r="B9" s="6" t="inlineStr">
        <is>
          <t>Brooks Automation</t>
        </is>
      </c>
      <c r="C9" s="6" t="inlineStr">
        <is>
          <t>SCARA Robots</t>
        </is>
      </c>
      <c r="D9" s="65" t="n">
        <v>800</v>
      </c>
      <c r="E9" s="43" t="n">
        <v>6</v>
      </c>
      <c r="F9" s="32">
        <f>E9/D9</f>
        <v/>
      </c>
      <c r="G9" s="40" t="inlineStr">
        <is>
          <t>VERY LOW</t>
        </is>
      </c>
      <c r="H9" s="43" t="n">
        <v>12</v>
      </c>
      <c r="I9" s="6" t="n">
        <v>50</v>
      </c>
      <c r="J9" s="43" t="n">
        <v>2</v>
      </c>
      <c r="K9" s="6" t="inlineStr">
        <is>
          <t>Per program</t>
        </is>
      </c>
      <c r="L9" s="6" t="n">
        <v>6</v>
      </c>
      <c r="M9" s="8" t="inlineStr">
        <is>
          <t>Standard stock level</t>
        </is>
      </c>
      <c r="N9" s="8" t="inlineStr">
        <is>
          <t>Brooks Automation high-volume producer; 6 units trivial</t>
        </is>
      </c>
    </row>
    <row r="10">
      <c r="A10" s="6" t="inlineStr">
        <is>
          <t>EQ-006</t>
        </is>
      </c>
      <c r="B10" s="6" t="inlineStr">
        <is>
          <t>Daifuku</t>
        </is>
      </c>
      <c r="C10" s="6" t="inlineStr">
        <is>
          <t>Overhead Track Conveyor</t>
        </is>
      </c>
      <c r="D10" s="65" t="n">
        <v>25</v>
      </c>
      <c r="E10" s="43" t="n">
        <v>1</v>
      </c>
      <c r="F10" s="32">
        <f>E10/D10</f>
        <v/>
      </c>
      <c r="G10" s="46" t="inlineStr">
        <is>
          <t>MOD — custom design</t>
        </is>
      </c>
      <c r="H10" s="43" t="n">
        <v>30</v>
      </c>
      <c r="I10" s="6" t="n">
        <v>5</v>
      </c>
      <c r="J10" s="43" t="n">
        <v>1</v>
      </c>
      <c r="K10" s="6" t="inlineStr">
        <is>
          <t>Per project</t>
        </is>
      </c>
      <c r="L10" s="6" t="n">
        <v>0</v>
      </c>
      <c r="M10" s="8" t="inlineStr">
        <is>
          <t>No standard buffer — custom</t>
        </is>
      </c>
      <c r="N10" s="8" t="inlineStr">
        <is>
          <t>Each Daifuku conveyor is a custom civil project; capacity = design+install bandwidth, not inventory</t>
        </is>
      </c>
    </row>
    <row r="11">
      <c r="A11" s="6" t="inlineStr">
        <is>
          <t>EQ-007</t>
        </is>
      </c>
      <c r="B11" s="6" t="inlineStr">
        <is>
          <t>Air Liquide Eng.</t>
        </is>
      </c>
      <c r="C11" s="6" t="inlineStr">
        <is>
          <t>Process Gas Cabinets</t>
        </is>
      </c>
      <c r="D11" s="65" t="n">
        <v>200</v>
      </c>
      <c r="E11" s="43" t="n">
        <v>4</v>
      </c>
      <c r="F11" s="32">
        <f>E11/D11</f>
        <v/>
      </c>
      <c r="G11" s="40" t="inlineStr">
        <is>
          <t>LOW</t>
        </is>
      </c>
      <c r="H11" s="43" t="n">
        <v>16</v>
      </c>
      <c r="I11" s="6" t="n">
        <v>20</v>
      </c>
      <c r="J11" s="43" t="n">
        <v>1</v>
      </c>
      <c r="K11" s="6" t="inlineStr">
        <is>
          <t>Per program</t>
        </is>
      </c>
      <c r="L11" s="6" t="n">
        <v>8</v>
      </c>
      <c r="M11" s="8" t="inlineStr">
        <is>
          <t>1 spare manifold assembly</t>
        </is>
      </c>
      <c r="N11" s="8" t="inlineStr">
        <is>
          <t>Air Liquide Eng. large manufacturer; 4 units = low share</t>
        </is>
      </c>
    </row>
    <row r="12">
      <c r="A12" s="6" t="inlineStr">
        <is>
          <t>EQ-008</t>
        </is>
      </c>
      <c r="B12" s="6" t="inlineStr">
        <is>
          <t>Linde Engineering</t>
        </is>
      </c>
      <c r="C12" s="6" t="inlineStr">
        <is>
          <t>Bulk Gas Storage Vessels</t>
        </is>
      </c>
      <c r="D12" s="65" t="n">
        <v>80</v>
      </c>
      <c r="E12" s="43" t="n">
        <v>1</v>
      </c>
      <c r="F12" s="32">
        <f>E12/D12</f>
        <v/>
      </c>
      <c r="G12" s="40" t="inlineStr">
        <is>
          <t>LOW</t>
        </is>
      </c>
      <c r="H12" s="43" t="n">
        <v>28</v>
      </c>
      <c r="I12" s="6" t="n">
        <v>5</v>
      </c>
      <c r="J12" s="43" t="n">
        <v>1</v>
      </c>
      <c r="K12" s="6" t="inlineStr">
        <is>
          <t>Per program</t>
        </is>
      </c>
      <c r="L12" s="6" t="n">
        <v>0</v>
      </c>
      <c r="M12" s="8" t="inlineStr">
        <is>
          <t>Long-lead only — no buffer</t>
        </is>
      </c>
      <c r="N12" s="8" t="inlineStr">
        <is>
          <t>Vessel is bespoke; 32-wk LT is design/fabrication not inventory</t>
        </is>
      </c>
    </row>
    <row r="13">
      <c r="A13" s="6" t="inlineStr">
        <is>
          <t>EQ-009</t>
        </is>
      </c>
      <c r="B13" s="6" t="inlineStr">
        <is>
          <t>Siemens AG</t>
        </is>
      </c>
      <c r="C13" s="6" t="inlineStr">
        <is>
          <t>DCS PLC S7-1500</t>
        </is>
      </c>
      <c r="D13" s="65" t="n">
        <v>50000</v>
      </c>
      <c r="E13" s="43" t="n">
        <v>5</v>
      </c>
      <c r="F13" s="32">
        <f>E13/D13</f>
        <v/>
      </c>
      <c r="G13" s="40" t="inlineStr">
        <is>
          <t>VERY LOW</t>
        </is>
      </c>
      <c r="H13" s="43" t="n">
        <v>10</v>
      </c>
      <c r="I13" s="6" t="n">
        <v>500</v>
      </c>
      <c r="J13" s="43" t="n">
        <v>5</v>
      </c>
      <c r="K13" s="6" t="inlineStr">
        <is>
          <t>Annual blanket</t>
        </is>
      </c>
      <c r="L13" s="6" t="n">
        <v>12</v>
      </c>
      <c r="M13" s="8" t="inlineStr">
        <is>
          <t>Standard depot stock — Siemens USA</t>
        </is>
      </c>
      <c r="N13" s="8" t="inlineStr">
        <is>
          <t>Mass-manufactured; 5 units = negligible supply risk</t>
        </is>
      </c>
    </row>
    <row r="14">
      <c r="A14" s="6" t="inlineStr">
        <is>
          <t>EQ-010</t>
        </is>
      </c>
      <c r="B14" s="6" t="inlineStr">
        <is>
          <t>Inductive Automation</t>
        </is>
      </c>
      <c r="C14" s="6" t="inlineStr">
        <is>
          <t>SCADA Software Licenses</t>
        </is>
      </c>
      <c r="D14" s="6" t="inlineStr">
        <is>
          <t>Unlimited (SaaS)</t>
        </is>
      </c>
      <c r="E14" s="43" t="n">
        <v>3</v>
      </c>
      <c r="F14" s="6" t="inlineStr">
        <is>
          <t>N/A</t>
        </is>
      </c>
      <c r="G14" s="40" t="inlineStr">
        <is>
          <t>VERY LOW</t>
        </is>
      </c>
      <c r="H14" s="43" t="n">
        <v>0</v>
      </c>
      <c r="I14" s="6" t="inlineStr">
        <is>
          <t>N/A</t>
        </is>
      </c>
      <c r="J14" s="43" t="n">
        <v>1</v>
      </c>
      <c r="K14" s="6" t="inlineStr">
        <is>
          <t>On demand</t>
        </is>
      </c>
      <c r="L14" s="6" t="n">
        <v>0</v>
      </c>
      <c r="M14" s="8" t="inlineStr">
        <is>
          <t>Software — no physical buffer needed</t>
        </is>
      </c>
      <c r="N14" s="8" t="inlineStr">
        <is>
          <t>SaaS-adjacent model; license delivery instantaneous</t>
        </is>
      </c>
    </row>
    <row r="15">
      <c r="A15" s="6" t="inlineStr">
        <is>
          <t>EQ-011</t>
        </is>
      </c>
      <c r="B15" s="6" t="inlineStr">
        <is>
          <t>ABB Ltd</t>
        </is>
      </c>
      <c r="C15" s="6" t="inlineStr">
        <is>
          <t>Dry-Type Transformers</t>
        </is>
      </c>
      <c r="D15" s="65" t="n">
        <v>300</v>
      </c>
      <c r="E15" s="43" t="n">
        <v>2</v>
      </c>
      <c r="F15" s="32">
        <f>E15/D15</f>
        <v/>
      </c>
      <c r="G15" s="40" t="inlineStr">
        <is>
          <t>LOW</t>
        </is>
      </c>
      <c r="H15" s="43" t="n">
        <v>18</v>
      </c>
      <c r="I15" s="6" t="n">
        <v>10</v>
      </c>
      <c r="J15" s="43" t="n">
        <v>1</v>
      </c>
      <c r="K15" s="6" t="inlineStr">
        <is>
          <t>Per program</t>
        </is>
      </c>
      <c r="L15" s="6" t="n">
        <v>0</v>
      </c>
      <c r="M15" s="8" t="inlineStr">
        <is>
          <t>Long-lead; no buffer practical</t>
        </is>
      </c>
      <c r="N15" s="8" t="inlineStr">
        <is>
          <t>ABB large transformer OEM; 2 units = negligible share</t>
        </is>
      </c>
    </row>
    <row r="16">
      <c r="A16" s="6" t="inlineStr">
        <is>
          <t>EQ-012</t>
        </is>
      </c>
      <c r="B16" s="6" t="inlineStr">
        <is>
          <t>Daikin Applied</t>
        </is>
      </c>
      <c r="C16" s="6" t="inlineStr">
        <is>
          <t>Process Chiller Systems</t>
        </is>
      </c>
      <c r="D16" s="65" t="n">
        <v>400</v>
      </c>
      <c r="E16" s="43" t="n">
        <v>3</v>
      </c>
      <c r="F16" s="32">
        <f>E16/D16</f>
        <v/>
      </c>
      <c r="G16" s="40" t="inlineStr">
        <is>
          <t>LOW</t>
        </is>
      </c>
      <c r="H16" s="43" t="n">
        <v>18</v>
      </c>
      <c r="I16" s="6" t="n">
        <v>15</v>
      </c>
      <c r="J16" s="43" t="n">
        <v>1</v>
      </c>
      <c r="K16" s="6" t="inlineStr">
        <is>
          <t>Per program</t>
        </is>
      </c>
      <c r="L16" s="6" t="n">
        <v>6</v>
      </c>
      <c r="M16" s="8" t="inlineStr">
        <is>
          <t>Standard refrigerant spares kit</t>
        </is>
      </c>
      <c r="N16" s="8" t="inlineStr">
        <is>
          <t>Daikin Applied large US/JP manufacturer; low concentration</t>
        </is>
      </c>
    </row>
    <row r="17">
      <c r="A17" s="6" t="inlineStr">
        <is>
          <t>EQ-013</t>
        </is>
      </c>
      <c r="B17" s="6" t="inlineStr">
        <is>
          <t>Busch Vacuum</t>
        </is>
      </c>
      <c r="C17" s="6" t="inlineStr">
        <is>
          <t>Roots Blower Boosters</t>
        </is>
      </c>
      <c r="D17" s="65" t="n">
        <v>250</v>
      </c>
      <c r="E17" s="43" t="n">
        <v>6</v>
      </c>
      <c r="F17" s="32">
        <f>E17/D17</f>
        <v/>
      </c>
      <c r="G17" s="40" t="inlineStr">
        <is>
          <t>LOW</t>
        </is>
      </c>
      <c r="H17" s="43" t="n">
        <v>14</v>
      </c>
      <c r="I17" s="6" t="n">
        <v>20</v>
      </c>
      <c r="J17" s="43" t="n">
        <v>1</v>
      </c>
      <c r="K17" s="6" t="inlineStr">
        <is>
          <t>Per program</t>
        </is>
      </c>
      <c r="L17" s="6" t="n">
        <v>8</v>
      </c>
      <c r="M17" s="8" t="inlineStr">
        <is>
          <t>2-unit buffer coordinated with EQ-001</t>
        </is>
      </c>
      <c r="N17" s="8" t="inlineStr">
        <is>
          <t>Busch high-volume vacuum manufacturer; 6 units = low share</t>
        </is>
      </c>
    </row>
    <row r="18">
      <c r="A18" s="6" t="inlineStr">
        <is>
          <t>EQ-014</t>
        </is>
      </c>
      <c r="B18" s="6" t="inlineStr">
        <is>
          <t>Applied Materials</t>
        </is>
      </c>
      <c r="C18" s="6" t="inlineStr">
        <is>
          <t>RTP Tools</t>
        </is>
      </c>
      <c r="D18" s="65" t="n">
        <v>40</v>
      </c>
      <c r="E18" s="43" t="n">
        <v>2</v>
      </c>
      <c r="F18" s="32">
        <f>E18/D18</f>
        <v/>
      </c>
      <c r="G18" s="46" t="inlineStr">
        <is>
          <t>MOD-HIGH</t>
        </is>
      </c>
      <c r="H18" s="43" t="n">
        <v>24</v>
      </c>
      <c r="I18" s="6" t="n">
        <v>5</v>
      </c>
      <c r="J18" s="43" t="n">
        <v>1</v>
      </c>
      <c r="K18" s="6" t="inlineStr">
        <is>
          <t>Per program</t>
        </is>
      </c>
      <c r="L18" s="6" t="n">
        <v>0</v>
      </c>
      <c r="M18" s="8" t="inlineStr">
        <is>
          <t>No buffer — high-value; 30% deposit commitment</t>
        </is>
      </c>
      <c r="N18" s="8" t="inlineStr">
        <is>
          <t>AMAT RTP production limited; 2 units = notable share. Finance pre-approval required.</t>
        </is>
      </c>
    </row>
    <row r="19">
      <c r="A19" s="6" t="inlineStr">
        <is>
          <t>EQ-015</t>
        </is>
      </c>
      <c r="B19" s="6" t="inlineStr">
        <is>
          <t>Mobile Industrial Robots</t>
        </is>
      </c>
      <c r="C19" s="6" t="inlineStr">
        <is>
          <t>AMR Fleet (x10 robots)</t>
        </is>
      </c>
      <c r="D19" s="65" t="n">
        <v>5000</v>
      </c>
      <c r="E19" s="43" t="n">
        <v>10</v>
      </c>
      <c r="F19" s="32">
        <f>E19/D19</f>
        <v/>
      </c>
      <c r="G19" s="40" t="inlineStr">
        <is>
          <t>VERY LOW</t>
        </is>
      </c>
      <c r="H19" s="43" t="n">
        <v>14</v>
      </c>
      <c r="I19" s="6" t="n">
        <v>100</v>
      </c>
      <c r="J19" s="43" t="n">
        <v>10</v>
      </c>
      <c r="K19" s="6" t="inlineStr">
        <is>
          <t>Per program</t>
        </is>
      </c>
      <c r="L19" s="6" t="n">
        <v>0</v>
      </c>
      <c r="M19" s="8" t="inlineStr">
        <is>
          <t>Standard warranty + software update coverage</t>
        </is>
      </c>
      <c r="N19" s="8" t="inlineStr">
        <is>
          <t>MiR high-volume AMR producer; 10 units negligible</t>
        </is>
      </c>
    </row>
  </sheetData>
  <mergeCells count="2">
    <mergeCell ref="A2:N2"/>
    <mergeCell ref="A1:N1"/>
  </mergeCells>
  <pageMargins left="0.75" right="0.75" top="1" bottom="1" header="0.5" footer="0.5"/>
</worksheet>
</file>

<file path=xl/worksheets/sheet27.xml><?xml version="1.0" encoding="utf-8"?>
<worksheet xmlns="http://schemas.openxmlformats.org/spreadsheetml/2006/main">
  <sheetPr>
    <tabColor rgb="006A1B9A"/>
    <outlinePr summaryBelow="1" summaryRight="1"/>
    <pageSetUpPr/>
  </sheetPr>
  <dimension ref="A1:P28"/>
  <sheetViews>
    <sheetView workbookViewId="0">
      <pane ySplit="6" topLeftCell="A7" activePane="bottomLeft" state="frozen"/>
      <selection pane="bottomLeft" activeCell="A1" sqref="A1"/>
    </sheetView>
  </sheetViews>
  <sheetFormatPr baseColWidth="8" defaultRowHeight="15"/>
  <cols>
    <col width="8" customWidth="1" min="1" max="1"/>
    <col width="30" customWidth="1" min="2" max="2"/>
    <col width="9" customWidth="1" min="3" max="3"/>
    <col width="20" customWidth="1" min="4" max="4"/>
    <col width="7" customWidth="1" min="5" max="5"/>
    <col width="10" customWidth="1" min="6" max="6"/>
    <col width="9" customWidth="1" min="7" max="7"/>
    <col width="8" customWidth="1" min="8" max="8"/>
    <col width="10" customWidth="1" min="9" max="9"/>
    <col width="10" customWidth="1" min="10" max="10"/>
    <col width="12" customWidth="1" min="11" max="11"/>
    <col width="12" customWidth="1" min="12" max="12"/>
    <col width="13" customWidth="1" min="13" max="13"/>
    <col width="12" customWidth="1" min="14" max="14"/>
    <col width="14" customWidth="1" min="15" max="15"/>
    <col width="46" customWidth="1" min="16" max="16"/>
  </cols>
  <sheetData>
    <row r="1" ht="26" customHeight="1">
      <c r="A1" s="95" t="inlineStr">
        <is>
          <t>S23 — Inventory &amp; Buffer Planning — Consumables, Spare Parts &amp; Safety Stock</t>
        </is>
      </c>
    </row>
    <row r="2" ht="15" customHeight="1">
      <c r="A2" s="2" t="inlineStr">
        <is>
          <t>Covers production consumables, critical spares (MTBF/MTTR model), and safety stock | Owner: Sourabh Tarodekar | Carrying cost = 20% | Production value from S01_Disclaimer_Assumptions</t>
        </is>
      </c>
    </row>
    <row r="4" ht="18" customHeight="1">
      <c r="A4" s="100" t="inlineStr">
        <is>
          <t>SECTION A — CRITICAL SPARE PARTS (MTBF / MTTR MODEL)</t>
        </is>
      </c>
    </row>
    <row r="5" ht="30" customHeight="1">
      <c r="A5" s="96" t="inlineStr">
        <is>
          <t>Part ID</t>
        </is>
      </c>
      <c r="B5" s="96" t="inlineStr">
        <is>
          <t>Part Description</t>
        </is>
      </c>
      <c r="C5" s="96" t="inlineStr">
        <is>
          <t>Equip Ref</t>
        </is>
      </c>
      <c r="D5" s="96" t="inlineStr">
        <is>
          <t>Supplier</t>
        </is>
      </c>
      <c r="E5" s="96" t="inlineStr">
        <is>
          <t>Class</t>
        </is>
      </c>
      <c r="F5" s="96" t="inlineStr">
        <is>
          <t>MTBF (hrs)</t>
        </is>
      </c>
      <c r="G5" s="96" t="inlineStr">
        <is>
          <t>MTTR (hrs)</t>
        </is>
      </c>
      <c r="H5" s="96" t="inlineStr">
        <is>
          <t>Annual Failures (Est.)</t>
        </is>
      </c>
      <c r="I5" s="96" t="inlineStr">
        <is>
          <t>Safety Stock (units)</t>
        </is>
      </c>
      <c r="J5" s="96" t="inlineStr">
        <is>
          <t>Unit Cost (USD)</t>
        </is>
      </c>
      <c r="K5" s="96" t="inlineStr">
        <is>
          <t>Annual Consumption (units)</t>
        </is>
      </c>
      <c r="L5" s="96" t="inlineStr">
        <is>
          <t>Inventory Value (USD)</t>
        </is>
      </c>
      <c r="M5" s="96" t="inlineStr">
        <is>
          <t>Annual Carry Cost (20%)</t>
        </is>
      </c>
      <c r="N5" s="96" t="inlineStr">
        <is>
          <t>Downtime Avoidance (hrs/yr)</t>
        </is>
      </c>
      <c r="O5" s="96" t="inlineStr">
        <is>
          <t>Annual Downtime Value Avoided (USD/yr)</t>
        </is>
      </c>
      <c r="P5" s="96" t="inlineStr">
        <is>
          <t>Notes</t>
        </is>
      </c>
    </row>
    <row r="6">
      <c r="A6" s="6" t="inlineStr">
        <is>
          <t>SP-001</t>
        </is>
      </c>
      <c r="B6" s="6" t="inlineStr">
        <is>
          <t>Dry Screw Pump Seal Set</t>
        </is>
      </c>
      <c r="C6" s="6" t="inlineStr">
        <is>
          <t>EQ-001</t>
        </is>
      </c>
      <c r="D6" s="6" t="inlineStr">
        <is>
          <t>Edwards Vacuum</t>
        </is>
      </c>
      <c r="E6" s="6" t="inlineStr">
        <is>
          <t>A</t>
        </is>
      </c>
      <c r="F6" s="43" t="n">
        <v>8760</v>
      </c>
      <c r="G6" s="43" t="n">
        <v>4</v>
      </c>
      <c r="H6" s="43" t="n">
        <v>1</v>
      </c>
      <c r="I6" s="43" t="n">
        <v>2</v>
      </c>
      <c r="J6" s="48" t="n">
        <v>3200</v>
      </c>
      <c r="K6" s="43" t="n">
        <v>2</v>
      </c>
      <c r="L6" s="31">
        <f>J6*I6</f>
        <v/>
      </c>
      <c r="M6" s="31">
        <f>L6*0.2</f>
        <v/>
      </c>
      <c r="N6" s="33">
        <f>G6*H6</f>
        <v/>
      </c>
      <c r="O6" s="31">
        <f>N6*'S01_Disclaimer_Assumptions'!$B$33</f>
        <v/>
      </c>
      <c r="P6" s="8" t="inlineStr">
        <is>
          <t>Seals degrade; annual replacement expected; 2-set safety stock</t>
        </is>
      </c>
    </row>
    <row r="7">
      <c r="A7" s="6" t="inlineStr">
        <is>
          <t>SP-002</t>
        </is>
      </c>
      <c r="B7" s="6" t="inlineStr">
        <is>
          <t>Turbomolecular Pump Bearing</t>
        </is>
      </c>
      <c r="C7" s="6" t="inlineStr">
        <is>
          <t>EQ-002</t>
        </is>
      </c>
      <c r="D7" s="6" t="inlineStr">
        <is>
          <t>Pfeiffer Vacuum</t>
        </is>
      </c>
      <c r="E7" s="6" t="inlineStr">
        <is>
          <t>A</t>
        </is>
      </c>
      <c r="F7" s="43" t="n">
        <v>4380</v>
      </c>
      <c r="G7" s="43" t="n">
        <v>8</v>
      </c>
      <c r="H7" s="43" t="n">
        <v>2</v>
      </c>
      <c r="I7" s="43" t="n">
        <v>2</v>
      </c>
      <c r="J7" s="48" t="n">
        <v>8500</v>
      </c>
      <c r="K7" s="43" t="n">
        <v>4</v>
      </c>
      <c r="L7" s="31">
        <f>J7*I7</f>
        <v/>
      </c>
      <c r="M7" s="31">
        <f>L7*0.2</f>
        <v/>
      </c>
      <c r="N7" s="33">
        <f>G7*H7</f>
        <v/>
      </c>
      <c r="O7" s="31">
        <f>N7*'S01_Disclaimer_Assumptions'!$B$33</f>
        <v/>
      </c>
      <c r="P7" s="8" t="inlineStr">
        <is>
          <t>CRITICAL — bearing failure = tool down; 2-set stock maintained</t>
        </is>
      </c>
    </row>
    <row r="8">
      <c r="A8" s="6" t="inlineStr">
        <is>
          <t>SP-003</t>
        </is>
      </c>
      <c r="B8" s="6" t="inlineStr">
        <is>
          <t>Turbomolecular Pump Controller</t>
        </is>
      </c>
      <c r="C8" s="6" t="inlineStr">
        <is>
          <t>EQ-002</t>
        </is>
      </c>
      <c r="D8" s="6" t="inlineStr">
        <is>
          <t>Pfeiffer Vacuum</t>
        </is>
      </c>
      <c r="E8" s="6" t="inlineStr">
        <is>
          <t>A</t>
        </is>
      </c>
      <c r="F8" s="43" t="n">
        <v>8760</v>
      </c>
      <c r="G8" s="43" t="n">
        <v>16</v>
      </c>
      <c r="H8" s="43" t="n">
        <v>1</v>
      </c>
      <c r="I8" s="43" t="n">
        <v>1</v>
      </c>
      <c r="J8" s="48" t="n">
        <v>12000</v>
      </c>
      <c r="K8" s="43" t="n">
        <v>1</v>
      </c>
      <c r="L8" s="31">
        <f>J8*I8</f>
        <v/>
      </c>
      <c r="M8" s="31">
        <f>L8*0.2</f>
        <v/>
      </c>
      <c r="N8" s="33">
        <f>G8*H8</f>
        <v/>
      </c>
      <c r="O8" s="31">
        <f>N8*'S01_Disclaimer_Assumptions'!$B$33</f>
        <v/>
      </c>
      <c r="P8" s="8" t="inlineStr">
        <is>
          <t>Proprietary controller; no drop-in alt; Pfeiffer safety stock commitment</t>
        </is>
      </c>
    </row>
    <row r="9">
      <c r="A9" s="6" t="inlineStr">
        <is>
          <t>SP-004</t>
        </is>
      </c>
      <c r="B9" s="6" t="inlineStr">
        <is>
          <t>Furnace Heating Elements (8-zone set)</t>
        </is>
      </c>
      <c r="C9" s="6" t="inlineStr">
        <is>
          <t>EQ-003</t>
        </is>
      </c>
      <c r="D9" s="6" t="inlineStr">
        <is>
          <t>Thermco Systems</t>
        </is>
      </c>
      <c r="E9" s="6" t="inlineStr">
        <is>
          <t>B</t>
        </is>
      </c>
      <c r="F9" s="43" t="n">
        <v>4380</v>
      </c>
      <c r="G9" s="43" t="n">
        <v>6</v>
      </c>
      <c r="H9" s="43" t="n">
        <v>2</v>
      </c>
      <c r="I9" s="43" t="n">
        <v>2</v>
      </c>
      <c r="J9" s="48" t="n">
        <v>4800</v>
      </c>
      <c r="K9" s="43" t="n">
        <v>4</v>
      </c>
      <c r="L9" s="31">
        <f>J9*I9</f>
        <v/>
      </c>
      <c r="M9" s="31">
        <f>L9*0.2</f>
        <v/>
      </c>
      <c r="N9" s="33">
        <f>G9*H9</f>
        <v/>
      </c>
      <c r="O9" s="31">
        <f>N9*'S01_Disclaimer_Assumptions'!$B$33</f>
        <v/>
      </c>
      <c r="P9" s="8" t="inlineStr">
        <is>
          <t>Zone element failure predictable; 2-set buffer; 2-4 wk replacement</t>
        </is>
      </c>
    </row>
    <row r="10">
      <c r="A10" s="6" t="inlineStr">
        <is>
          <t>SP-005</t>
        </is>
      </c>
      <c r="B10" s="6" t="inlineStr">
        <is>
          <t>Batch Furnace Process Tube</t>
        </is>
      </c>
      <c r="C10" s="6" t="inlineStr">
        <is>
          <t>EQ-004</t>
        </is>
      </c>
      <c r="D10" s="6" t="inlineStr">
        <is>
          <t>Tokyo Electron Ltd</t>
        </is>
      </c>
      <c r="E10" s="6" t="inlineStr">
        <is>
          <t>B</t>
        </is>
      </c>
      <c r="F10" s="43" t="n">
        <v>8760</v>
      </c>
      <c r="G10" s="43" t="n">
        <v>12</v>
      </c>
      <c r="H10" s="43" t="n">
        <v>1</v>
      </c>
      <c r="I10" s="43" t="n">
        <v>1</v>
      </c>
      <c r="J10" s="48" t="n">
        <v>6500</v>
      </c>
      <c r="K10" s="43" t="n">
        <v>1</v>
      </c>
      <c r="L10" s="31">
        <f>J10*I10</f>
        <v/>
      </c>
      <c r="M10" s="31">
        <f>L10*0.2</f>
        <v/>
      </c>
      <c r="N10" s="33">
        <f>G10*H10</f>
        <v/>
      </c>
      <c r="O10" s="31">
        <f>N10*'S01_Disclaimer_Assumptions'!$B$33</f>
        <v/>
      </c>
      <c r="P10" s="8" t="inlineStr">
        <is>
          <t>Quartz tube — 12-wk lead time from TEL; must stock 1 spare</t>
        </is>
      </c>
    </row>
    <row r="11">
      <c r="A11" s="6" t="inlineStr">
        <is>
          <t>SP-006</t>
        </is>
      </c>
      <c r="B11" s="6" t="inlineStr">
        <is>
          <t>SCARA Robot Servo Drive</t>
        </is>
      </c>
      <c r="C11" s="6" t="inlineStr">
        <is>
          <t>EQ-005</t>
        </is>
      </c>
      <c r="D11" s="6" t="inlineStr">
        <is>
          <t>Brooks Automation</t>
        </is>
      </c>
      <c r="E11" s="6" t="inlineStr">
        <is>
          <t>B</t>
        </is>
      </c>
      <c r="F11" s="43" t="n">
        <v>8760</v>
      </c>
      <c r="G11" s="43" t="n">
        <v>4</v>
      </c>
      <c r="H11" s="43" t="n">
        <v>1</v>
      </c>
      <c r="I11" s="43" t="n">
        <v>2</v>
      </c>
      <c r="J11" s="48" t="n">
        <v>3800</v>
      </c>
      <c r="K11" s="43" t="n">
        <v>2</v>
      </c>
      <c r="L11" s="31">
        <f>J11*I11</f>
        <v/>
      </c>
      <c r="M11" s="31">
        <f>L11*0.2</f>
        <v/>
      </c>
      <c r="N11" s="33">
        <f>G11*H11</f>
        <v/>
      </c>
      <c r="O11" s="31">
        <f>N11*'S01_Disclaimer_Assumptions'!$B$33</f>
        <v/>
      </c>
      <c r="P11" s="8" t="inlineStr">
        <is>
          <t>Drive failure low frequency; 2-unit stock adequate</t>
        </is>
      </c>
    </row>
    <row r="12">
      <c r="A12" s="6" t="inlineStr">
        <is>
          <t>SP-007</t>
        </is>
      </c>
      <c r="B12" s="6" t="inlineStr">
        <is>
          <t>Gas Cabinet MFC Assembly</t>
        </is>
      </c>
      <c r="C12" s="6" t="inlineStr">
        <is>
          <t>EQ-007</t>
        </is>
      </c>
      <c r="D12" s="6" t="inlineStr">
        <is>
          <t>Air Liquide Eng.</t>
        </is>
      </c>
      <c r="E12" s="6" t="inlineStr">
        <is>
          <t>A</t>
        </is>
      </c>
      <c r="F12" s="43" t="n">
        <v>4380</v>
      </c>
      <c r="G12" s="43" t="n">
        <v>8</v>
      </c>
      <c r="H12" s="43" t="n">
        <v>2</v>
      </c>
      <c r="I12" s="43" t="n">
        <v>2</v>
      </c>
      <c r="J12" s="48" t="n">
        <v>5200</v>
      </c>
      <c r="K12" s="43" t="n">
        <v>4</v>
      </c>
      <c r="L12" s="31">
        <f>J12*I12</f>
        <v/>
      </c>
      <c r="M12" s="31">
        <f>L12*0.2</f>
        <v/>
      </c>
      <c r="N12" s="33">
        <f>G12*H12</f>
        <v/>
      </c>
      <c r="O12" s="31">
        <f>N12*'S01_Disclaimer_Assumptions'!$B$33</f>
        <v/>
      </c>
      <c r="P12" s="8" t="inlineStr">
        <is>
          <t>MFC drift = recalibration or replacement; high-use spare</t>
        </is>
      </c>
    </row>
    <row r="13">
      <c r="A13" s="6" t="inlineStr">
        <is>
          <t>SP-008</t>
        </is>
      </c>
      <c r="B13" s="6" t="inlineStr">
        <is>
          <t>DCS CPU Module — S7-1500</t>
        </is>
      </c>
      <c r="C13" s="6" t="inlineStr">
        <is>
          <t>EQ-009</t>
        </is>
      </c>
      <c r="D13" s="6" t="inlineStr">
        <is>
          <t>Siemens AG</t>
        </is>
      </c>
      <c r="E13" s="6" t="inlineStr">
        <is>
          <t>A</t>
        </is>
      </c>
      <c r="F13" s="43" t="n">
        <v>43800</v>
      </c>
      <c r="G13" s="43" t="n">
        <v>2</v>
      </c>
      <c r="H13" s="43" t="n">
        <v>0.2</v>
      </c>
      <c r="I13" s="43" t="n">
        <v>2</v>
      </c>
      <c r="J13" s="48" t="n">
        <v>4200</v>
      </c>
      <c r="K13" s="43" t="n">
        <v>1</v>
      </c>
      <c r="L13" s="31">
        <f>J13*I13</f>
        <v/>
      </c>
      <c r="M13" s="31">
        <f>L13*0.2</f>
        <v/>
      </c>
      <c r="N13" s="33">
        <f>G13*H13</f>
        <v/>
      </c>
      <c r="O13" s="31">
        <f>N13*'S01_Disclaimer_Assumptions'!$B$33</f>
        <v/>
      </c>
      <c r="P13" s="8" t="inlineStr">
        <is>
          <t>CPU failure rare; 2 on-site + Siemens depot replenishment</t>
        </is>
      </c>
    </row>
    <row r="14">
      <c r="A14" s="6" t="inlineStr">
        <is>
          <t>SP-009</t>
        </is>
      </c>
      <c r="B14" s="6" t="inlineStr">
        <is>
          <t>Chiller Compressor Capacitor Kit</t>
        </is>
      </c>
      <c r="C14" s="6" t="inlineStr">
        <is>
          <t>EQ-012</t>
        </is>
      </c>
      <c r="D14" s="6" t="inlineStr">
        <is>
          <t>Daikin Applied</t>
        </is>
      </c>
      <c r="E14" s="6" t="inlineStr">
        <is>
          <t>C</t>
        </is>
      </c>
      <c r="F14" s="43" t="n">
        <v>8760</v>
      </c>
      <c r="G14" s="43" t="n">
        <v>2</v>
      </c>
      <c r="H14" s="43" t="n">
        <v>1</v>
      </c>
      <c r="I14" s="43" t="n">
        <v>2</v>
      </c>
      <c r="J14" s="48" t="n">
        <v>850</v>
      </c>
      <c r="K14" s="43" t="n">
        <v>2</v>
      </c>
      <c r="L14" s="31">
        <f>J14*I14</f>
        <v/>
      </c>
      <c r="M14" s="31">
        <f>L14*0.2</f>
        <v/>
      </c>
      <c r="N14" s="33">
        <f>G14*H14</f>
        <v/>
      </c>
      <c r="O14" s="31">
        <f>N14*'S01_Disclaimer_Assumptions'!$B$33</f>
        <v/>
      </c>
      <c r="P14" s="8" t="inlineStr">
        <is>
          <t>Capacitor kit; standard maintenance item; low cost</t>
        </is>
      </c>
    </row>
    <row r="15">
      <c r="A15" s="6" t="inlineStr">
        <is>
          <t>SP-010</t>
        </is>
      </c>
      <c r="B15" s="6" t="inlineStr">
        <is>
          <t>RTP Lamp Array (set of 12)</t>
        </is>
      </c>
      <c r="C15" s="6" t="inlineStr">
        <is>
          <t>EQ-014</t>
        </is>
      </c>
      <c r="D15" s="6" t="inlineStr">
        <is>
          <t>Applied Materials</t>
        </is>
      </c>
      <c r="E15" s="6" t="inlineStr">
        <is>
          <t>A</t>
        </is>
      </c>
      <c r="F15" s="43" t="n">
        <v>4380</v>
      </c>
      <c r="G15" s="43" t="n">
        <v>8</v>
      </c>
      <c r="H15" s="43" t="n">
        <v>2</v>
      </c>
      <c r="I15" s="43" t="n">
        <v>2</v>
      </c>
      <c r="J15" s="48" t="n">
        <v>18500</v>
      </c>
      <c r="K15" s="43" t="n">
        <v>4</v>
      </c>
      <c r="L15" s="31">
        <f>J15*I15</f>
        <v/>
      </c>
      <c r="M15" s="31">
        <f>L15*0.2</f>
        <v/>
      </c>
      <c r="N15" s="33">
        <f>G15*H15</f>
        <v/>
      </c>
      <c r="O15" s="31">
        <f>N15*'S01_Disclaimer_Assumptions'!$B$33</f>
        <v/>
      </c>
      <c r="P15" s="8" t="inlineStr">
        <is>
          <t>Highest-value spare; AMAT recommends 2-set safety stock; 8-wk LT</t>
        </is>
      </c>
    </row>
    <row r="16">
      <c r="A16" s="6" t="inlineStr">
        <is>
          <t>SP-011</t>
        </is>
      </c>
      <c r="B16" s="6" t="inlineStr">
        <is>
          <t>AMR Battery Pack</t>
        </is>
      </c>
      <c r="C16" s="6" t="inlineStr">
        <is>
          <t>EQ-015</t>
        </is>
      </c>
      <c r="D16" s="6" t="inlineStr">
        <is>
          <t>MiR</t>
        </is>
      </c>
      <c r="E16" s="6" t="inlineStr">
        <is>
          <t>C</t>
        </is>
      </c>
      <c r="F16" s="43" t="n">
        <v>4380</v>
      </c>
      <c r="G16" s="43" t="n">
        <v>1</v>
      </c>
      <c r="H16" s="43" t="n">
        <v>2</v>
      </c>
      <c r="I16" s="43" t="n">
        <v>4</v>
      </c>
      <c r="J16" s="48" t="n">
        <v>1200</v>
      </c>
      <c r="K16" s="43" t="n">
        <v>8</v>
      </c>
      <c r="L16" s="31">
        <f>J16*I16</f>
        <v/>
      </c>
      <c r="M16" s="31">
        <f>L16*0.2</f>
        <v/>
      </c>
      <c r="N16" s="33">
        <f>G16*H16</f>
        <v/>
      </c>
      <c r="O16" s="31">
        <f>N16*'S01_Disclaimer_Assumptions'!$B$33</f>
        <v/>
      </c>
      <c r="P16" s="8" t="inlineStr">
        <is>
          <t>Battery degradation predictable; 4-pack standard; MiR swap warranty</t>
        </is>
      </c>
    </row>
    <row r="17">
      <c r="A17" s="6" t="inlineStr">
        <is>
          <t>SP-012</t>
        </is>
      </c>
      <c r="B17" s="6" t="inlineStr">
        <is>
          <t>Roots Blower Booster Rotor</t>
        </is>
      </c>
      <c r="C17" s="6" t="inlineStr">
        <is>
          <t>EQ-013</t>
        </is>
      </c>
      <c r="D17" s="6" t="inlineStr">
        <is>
          <t>Busch Vacuum</t>
        </is>
      </c>
      <c r="E17" s="6" t="inlineStr">
        <is>
          <t>B</t>
        </is>
      </c>
      <c r="F17" s="43" t="n">
        <v>8760</v>
      </c>
      <c r="G17" s="43" t="n">
        <v>6</v>
      </c>
      <c r="H17" s="43" t="n">
        <v>1</v>
      </c>
      <c r="I17" s="43" t="n">
        <v>1</v>
      </c>
      <c r="J17" s="48" t="n">
        <v>2800</v>
      </c>
      <c r="K17" s="43" t="n">
        <v>1</v>
      </c>
      <c r="L17" s="31">
        <f>J17*I17</f>
        <v/>
      </c>
      <c r="M17" s="31">
        <f>L17*0.2</f>
        <v/>
      </c>
      <c r="N17" s="33">
        <f>G17*H17</f>
        <v/>
      </c>
      <c r="O17" s="31">
        <f>N17*'S01_Disclaimer_Assumptions'!$B$33</f>
        <v/>
      </c>
      <c r="P17" s="8" t="inlineStr">
        <is>
          <t>Coordinated with Edwards EQ-001 maintenance schedule</t>
        </is>
      </c>
    </row>
    <row r="18">
      <c r="A18" s="102" t="inlineStr">
        <is>
          <t>SPARE PARTS TOTAL</t>
        </is>
      </c>
      <c r="B18" s="20" t="n"/>
      <c r="C18" s="20" t="n"/>
      <c r="D18" s="20" t="n"/>
      <c r="E18" s="20" t="n"/>
      <c r="F18" s="20" t="n"/>
      <c r="G18" s="20" t="n"/>
      <c r="H18" s="20" t="n"/>
      <c r="I18" s="20" t="n"/>
      <c r="J18" s="20" t="n"/>
      <c r="K18" s="20" t="n"/>
      <c r="L18" s="103">
        <f>SUM(L6:L17)</f>
        <v/>
      </c>
      <c r="M18" s="103">
        <f>SUM(M6:M17)</f>
        <v/>
      </c>
      <c r="N18" s="20" t="n"/>
      <c r="O18" s="20" t="n"/>
      <c r="P18" s="20" t="n"/>
    </row>
    <row r="20" ht="18" customHeight="1">
      <c r="A20" s="100" t="inlineStr">
        <is>
          <t>SECTION B — PRODUCTION CONSUMABLES &amp; RAW MATERIALS</t>
        </is>
      </c>
    </row>
    <row r="21" ht="30" customHeight="1">
      <c r="A21" s="96" t="inlineStr">
        <is>
          <t>Item ID</t>
        </is>
      </c>
      <c r="B21" s="96" t="inlineStr">
        <is>
          <t>Item Description</t>
        </is>
      </c>
      <c r="C21" s="96" t="inlineStr">
        <is>
          <t>Category</t>
        </is>
      </c>
      <c r="D21" s="96" t="inlineStr">
        <is>
          <t>Supplier</t>
        </is>
      </c>
      <c r="E21" s="96" t="inlineStr">
        <is>
          <t>Lead Time (wks)</t>
        </is>
      </c>
      <c r="F21" s="96" t="inlineStr">
        <is>
          <t>Avg Weekly Demand (units)</t>
        </is>
      </c>
      <c r="G21" s="96" t="inlineStr">
        <is>
          <t>Demand Std Dev</t>
        </is>
      </c>
      <c r="H21" s="96" t="inlineStr">
        <is>
          <t>Service Level Target</t>
        </is>
      </c>
      <c r="I21" s="96" t="inlineStr">
        <is>
          <t>Safety Stock (units)</t>
        </is>
      </c>
      <c r="J21" s="96" t="inlineStr">
        <is>
          <t>Reorder Point (units)</t>
        </is>
      </c>
      <c r="K21" s="96" t="inlineStr">
        <is>
          <t>EOQ (units)</t>
        </is>
      </c>
      <c r="L21" s="96" t="inlineStr">
        <is>
          <t>Current Stock</t>
        </is>
      </c>
      <c r="M21" s="96" t="inlineStr">
        <is>
          <t>Unit Cost (USD)</t>
        </is>
      </c>
      <c r="N21" s="96" t="inlineStr">
        <is>
          <t>Inventory Value (USD)</t>
        </is>
      </c>
      <c r="O21" s="96" t="inlineStr">
        <is>
          <t>Notes</t>
        </is>
      </c>
    </row>
    <row r="22">
      <c r="A22" s="6" t="inlineStr">
        <is>
          <t>CM-001</t>
        </is>
      </c>
      <c r="B22" s="6" t="inlineStr">
        <is>
          <t>Process N2 Gas (cylinder sets)</t>
        </is>
      </c>
      <c r="C22" s="6" t="inlineStr">
        <is>
          <t>Process Gas</t>
        </is>
      </c>
      <c r="D22" s="6" t="inlineStr">
        <is>
          <t>Air Liquide / Linde</t>
        </is>
      </c>
      <c r="E22" s="43" t="n">
        <v>2</v>
      </c>
      <c r="F22" s="43" t="n">
        <v>12</v>
      </c>
      <c r="G22" s="43" t="n">
        <v>3</v>
      </c>
      <c r="H22" s="47" t="n">
        <v>0.98</v>
      </c>
      <c r="I22" s="43" t="n">
        <v>10</v>
      </c>
      <c r="J22" s="43" t="n">
        <v>34</v>
      </c>
      <c r="K22" s="43" t="n">
        <v>50</v>
      </c>
      <c r="L22" s="43" t="n">
        <v>45</v>
      </c>
      <c r="M22" s="48" t="n">
        <v>380</v>
      </c>
      <c r="N22" s="31">
        <f>M22*L22</f>
        <v/>
      </c>
      <c r="O22" s="8" t="inlineStr">
        <is>
          <t>High-consumption; order weekly; dual-source reduces stockout risk</t>
        </is>
      </c>
    </row>
    <row r="23">
      <c r="A23" s="6" t="inlineStr">
        <is>
          <t>CM-002</t>
        </is>
      </c>
      <c r="B23" s="6" t="inlineStr">
        <is>
          <t>Quartz Process Tubes (spare)</t>
        </is>
      </c>
      <c r="C23" s="6" t="inlineStr">
        <is>
          <t>Process Consumable</t>
        </is>
      </c>
      <c r="D23" s="6" t="inlineStr">
        <is>
          <t>Heraeus / Shin-Etsu</t>
        </is>
      </c>
      <c r="E23" s="43" t="n">
        <v>6</v>
      </c>
      <c r="F23" s="43" t="n">
        <v>0.5</v>
      </c>
      <c r="G23" s="43" t="n">
        <v>0.2</v>
      </c>
      <c r="H23" s="47" t="n">
        <v>0.99</v>
      </c>
      <c r="I23" s="43" t="n">
        <v>4</v>
      </c>
      <c r="J23" s="43" t="n">
        <v>7</v>
      </c>
      <c r="K23" s="43" t="n">
        <v>6</v>
      </c>
      <c r="L23" s="43" t="n">
        <v>8</v>
      </c>
      <c r="M23" s="48" t="n">
        <v>2200</v>
      </c>
      <c r="N23" s="31">
        <f>M23*L23</f>
        <v/>
      </c>
      <c r="O23" s="8" t="inlineStr">
        <is>
          <t>Long-lead quartz; 6-wk LT drives high safety stock</t>
        </is>
      </c>
    </row>
    <row r="24">
      <c r="A24" s="6" t="inlineStr">
        <is>
          <t>CM-003</t>
        </is>
      </c>
      <c r="B24" s="6" t="inlineStr">
        <is>
          <t>Photoresist (process grade)</t>
        </is>
      </c>
      <c r="C24" s="6" t="inlineStr">
        <is>
          <t>Process Chemical</t>
        </is>
      </c>
      <c r="D24" s="6" t="inlineStr">
        <is>
          <t>JSR Corporation</t>
        </is>
      </c>
      <c r="E24" s="43" t="n">
        <v>4</v>
      </c>
      <c r="F24" s="43" t="n">
        <v>8</v>
      </c>
      <c r="G24" s="43" t="n">
        <v>2.5</v>
      </c>
      <c r="H24" s="47" t="n">
        <v>0.99</v>
      </c>
      <c r="I24" s="43" t="n">
        <v>10</v>
      </c>
      <c r="J24" s="43" t="n">
        <v>42</v>
      </c>
      <c r="K24" s="43" t="n">
        <v>60</v>
      </c>
      <c r="L24" s="43" t="n">
        <v>55</v>
      </c>
      <c r="M24" s="48" t="n">
        <v>1800</v>
      </c>
      <c r="N24" s="31">
        <f>M24*L24</f>
        <v/>
      </c>
      <c r="O24" s="8" t="inlineStr">
        <is>
          <t>High-value chemical; 4-wk LT; temperature-controlled storage</t>
        </is>
      </c>
    </row>
    <row r="25">
      <c r="A25" s="6" t="inlineStr">
        <is>
          <t>CM-004</t>
        </is>
      </c>
      <c r="B25" s="6" t="inlineStr">
        <is>
          <t>Argon Gas (bulk, per cylinder)</t>
        </is>
      </c>
      <c r="C25" s="6" t="inlineStr">
        <is>
          <t>Process Gas</t>
        </is>
      </c>
      <c r="D25" s="6" t="inlineStr">
        <is>
          <t>Linde Engineering</t>
        </is>
      </c>
      <c r="E25" s="43" t="n">
        <v>1</v>
      </c>
      <c r="F25" s="43" t="n">
        <v>6</v>
      </c>
      <c r="G25" s="43" t="n">
        <v>1.5</v>
      </c>
      <c r="H25" s="47" t="n">
        <v>0.97</v>
      </c>
      <c r="I25" s="43" t="n">
        <v>5</v>
      </c>
      <c r="J25" s="43" t="n">
        <v>17</v>
      </c>
      <c r="K25" s="43" t="n">
        <v>40</v>
      </c>
      <c r="L25" s="43" t="n">
        <v>30</v>
      </c>
      <c r="M25" s="48" t="n">
        <v>290</v>
      </c>
      <c r="N25" s="31">
        <f>M25*L25</f>
        <v/>
      </c>
      <c r="O25" s="8" t="inlineStr">
        <is>
          <t>Low risk; Linde on-site contract; auto-replenishment</t>
        </is>
      </c>
    </row>
    <row r="26">
      <c r="A26" s="6" t="inlineStr">
        <is>
          <t>CM-005</t>
        </is>
      </c>
      <c r="B26" s="6" t="inlineStr">
        <is>
          <t>Chemical Mechanical Planarization Slurry</t>
        </is>
      </c>
      <c r="C26" s="6" t="inlineStr">
        <is>
          <t>Process Chemical</t>
        </is>
      </c>
      <c r="D26" s="6" t="inlineStr">
        <is>
          <t>Cabot Microelectronics</t>
        </is>
      </c>
      <c r="E26" s="43" t="n">
        <v>3</v>
      </c>
      <c r="F26" s="43" t="n">
        <v>4</v>
      </c>
      <c r="G26" s="43" t="n">
        <v>1.5</v>
      </c>
      <c r="H26" s="47" t="n">
        <v>0.99</v>
      </c>
      <c r="I26" s="43" t="n">
        <v>8</v>
      </c>
      <c r="J26" s="43" t="n">
        <v>20</v>
      </c>
      <c r="K26" s="43" t="n">
        <v>40</v>
      </c>
      <c r="L26" s="43" t="n">
        <v>25</v>
      </c>
      <c r="M26" s="48" t="n">
        <v>1500</v>
      </c>
      <c r="N26" s="31">
        <f>M26*L26</f>
        <v/>
      </c>
      <c r="O26" s="8" t="inlineStr">
        <is>
          <t>Specialty chemical; 2 approved sources; shelf life 6 months</t>
        </is>
      </c>
    </row>
    <row r="27">
      <c r="A27" s="6" t="inlineStr">
        <is>
          <t>CM-006</t>
        </is>
      </c>
      <c r="B27" s="6" t="inlineStr">
        <is>
          <t>Cleaning Solvents (IPA, Acetone)</t>
        </is>
      </c>
      <c r="C27" s="6" t="inlineStr">
        <is>
          <t>Facility Chemical</t>
        </is>
      </c>
      <c r="D27" s="6" t="inlineStr">
        <is>
          <t>VWR / Fisher Scientific</t>
        </is>
      </c>
      <c r="E27" s="43" t="n">
        <v>1</v>
      </c>
      <c r="F27" s="43" t="n">
        <v>10</v>
      </c>
      <c r="G27" s="43" t="n">
        <v>3</v>
      </c>
      <c r="H27" s="47" t="n">
        <v>0.95</v>
      </c>
      <c r="I27" s="43" t="n">
        <v>8</v>
      </c>
      <c r="J27" s="43" t="n">
        <v>18</v>
      </c>
      <c r="K27" s="43" t="n">
        <v>80</v>
      </c>
      <c r="L27" s="43" t="n">
        <v>65</v>
      </c>
      <c r="M27" s="48" t="n">
        <v>45</v>
      </c>
      <c r="N27" s="31">
        <f>M27*L27</f>
        <v/>
      </c>
      <c r="O27" s="8" t="inlineStr">
        <is>
          <t>Commodity; easy dual-source; low-cost; broad availability</t>
        </is>
      </c>
    </row>
    <row r="28">
      <c r="A28" s="102" t="inlineStr">
        <is>
          <t>CONSUMABLES TOTAL</t>
        </is>
      </c>
      <c r="B28" s="20" t="n"/>
      <c r="C28" s="20" t="n"/>
      <c r="D28" s="20" t="n"/>
      <c r="E28" s="20" t="n"/>
      <c r="F28" s="20" t="n"/>
      <c r="G28" s="20" t="n"/>
      <c r="H28" s="20" t="n"/>
      <c r="I28" s="20" t="n"/>
      <c r="J28" s="20" t="n"/>
      <c r="K28" s="20" t="n"/>
      <c r="L28" s="20" t="n"/>
      <c r="M28" s="20" t="n"/>
      <c r="N28" s="103">
        <f>SUM(N22:N27)</f>
        <v/>
      </c>
      <c r="O28" s="20" t="n"/>
    </row>
  </sheetData>
  <mergeCells count="4">
    <mergeCell ref="A1:P1"/>
    <mergeCell ref="A20:O20"/>
    <mergeCell ref="A4:P4"/>
    <mergeCell ref="A2:P2"/>
  </mergeCells>
  <pageMargins left="0.75" right="0.75" top="1" bottom="1" header="0.5" footer="0.5"/>
</worksheet>
</file>

<file path=xl/worksheets/sheet28.xml><?xml version="1.0" encoding="utf-8"?>
<worksheet xmlns="http://schemas.openxmlformats.org/spreadsheetml/2006/main">
  <sheetPr>
    <tabColor rgb="006A1B9A"/>
    <outlinePr summaryBelow="1" summaryRight="1"/>
    <pageSetUpPr/>
  </sheetPr>
  <dimension ref="A1:P27"/>
  <sheetViews>
    <sheetView workbookViewId="0">
      <pane ySplit="5" topLeftCell="A6" activePane="bottomLeft" state="frozen"/>
      <selection pane="bottomLeft" activeCell="A1" sqref="A1"/>
    </sheetView>
  </sheetViews>
  <sheetFormatPr baseColWidth="8" defaultRowHeight="15"/>
  <cols>
    <col width="9" customWidth="1" min="1" max="1"/>
    <col width="9" customWidth="1" min="2" max="2"/>
    <col width="26" customWidth="1" min="3" max="3"/>
    <col width="18" customWidth="1" min="4" max="4"/>
    <col width="6" customWidth="1" min="5" max="5"/>
    <col width="22" customWidth="1" min="6" max="6"/>
    <col width="22" customWidth="1" min="7" max="7"/>
    <col width="12" customWidth="1" min="8" max="8"/>
    <col width="12" customWidth="1" min="9" max="9"/>
    <col width="12" customWidth="1" min="10" max="10"/>
    <col width="11" customWidth="1" min="11" max="11"/>
    <col width="11" customWidth="1" min="12" max="12"/>
    <col width="15" customWidth="1" min="13" max="13"/>
    <col width="18" customWidth="1" min="14" max="14"/>
    <col width="22" customWidth="1" min="15" max="15"/>
    <col width="46" customWidth="1" min="16" max="16"/>
  </cols>
  <sheetData>
    <row r="1" ht="26" customHeight="1">
      <c r="A1" s="95" t="inlineStr">
        <is>
          <t>S24 — Asset Tracking Register — Equipment Fleet Lifecycle &amp; Physical Status</t>
        </is>
      </c>
    </row>
    <row r="2" ht="15" customHeight="1">
      <c r="A2" s="2" t="inlineStr">
        <is>
          <t>Tracks all 45 physical assets by serial/tag, location, lifecycle state, maintenance &amp; warranty | Owner: Sourabh Tarodekar | Register is platform-level (15 rows); Qty column expands to 45 physical units total | Feeds S29 ROI Tracker and S25 Milestone Gate Tracker</t>
        </is>
      </c>
    </row>
    <row r="4" ht="30" customHeight="1">
      <c r="A4" s="96" t="inlineStr">
        <is>
          <t>Asset Tag</t>
        </is>
      </c>
      <c r="B4" s="96" t="inlineStr">
        <is>
          <t>Equip Ref</t>
        </is>
      </c>
      <c r="C4" s="96" t="inlineStr">
        <is>
          <t>Asset Description</t>
        </is>
      </c>
      <c r="D4" s="96" t="inlineStr">
        <is>
          <t>Serial # (Synthetic)</t>
        </is>
      </c>
      <c r="E4" s="96" t="inlineStr">
        <is>
          <t>Qty</t>
        </is>
      </c>
      <c r="F4" s="96" t="inlineStr">
        <is>
          <t>Location (Zone/Bay)</t>
        </is>
      </c>
      <c r="G4" s="96" t="inlineStr">
        <is>
          <t>Current Status</t>
        </is>
      </c>
      <c r="H4" s="96" t="inlineStr">
        <is>
          <t>Purchase Date</t>
        </is>
      </c>
      <c r="I4" s="96" t="inlineStr">
        <is>
          <t>Install Date</t>
        </is>
      </c>
      <c r="J4" s="96" t="inlineStr">
        <is>
          <t>Commiss. Date</t>
        </is>
      </c>
      <c r="K4" s="96" t="inlineStr">
        <is>
          <t>Remaining Lifetime (yrs)</t>
        </is>
      </c>
      <c r="L4" s="96" t="inlineStr">
        <is>
          <t>Replace Target Year</t>
        </is>
      </c>
      <c r="M4" s="96" t="inlineStr">
        <is>
          <t>Replacement Cost Est. (USD)</t>
        </is>
      </c>
      <c r="N4" s="96" t="inlineStr">
        <is>
          <t>Warranty Expiry</t>
        </is>
      </c>
      <c r="O4" s="96" t="inlineStr">
        <is>
          <t>Support Contract</t>
        </is>
      </c>
      <c r="P4" s="96" t="inlineStr">
        <is>
          <t>Notes</t>
        </is>
      </c>
    </row>
    <row r="5">
      <c r="A5" s="6" t="inlineStr">
        <is>
          <t>AST-001</t>
        </is>
      </c>
      <c r="B5" s="6" t="inlineStr">
        <is>
          <t>EQ-001</t>
        </is>
      </c>
      <c r="C5" s="6" t="inlineStr">
        <is>
          <t>Dry Screw Vacuum Pump (x4)</t>
        </is>
      </c>
      <c r="D5" s="6" t="inlineStr">
        <is>
          <t>VSP-2025-001/004</t>
        </is>
      </c>
      <c r="E5" s="43" t="n">
        <v>4</v>
      </c>
      <c r="F5" s="6" t="inlineStr">
        <is>
          <t>Bay A — Vacuum Zone</t>
        </is>
      </c>
      <c r="G5" s="40" t="inlineStr">
        <is>
          <t>IN PRODUCTION</t>
        </is>
      </c>
      <c r="H5" s="6" t="inlineStr">
        <is>
          <t>2025-02-15</t>
        </is>
      </c>
      <c r="I5" s="6" t="inlineStr">
        <is>
          <t>2025-09-01</t>
        </is>
      </c>
      <c r="J5" s="6" t="inlineStr">
        <is>
          <t>2025-11-15</t>
        </is>
      </c>
      <c r="K5" s="43" t="n">
        <v>10</v>
      </c>
      <c r="L5" s="43" t="n">
        <v>2035</v>
      </c>
      <c r="M5" s="48" t="n">
        <v>890000</v>
      </c>
      <c r="N5" s="6" t="inlineStr">
        <is>
          <t>2025-Q4 (see contract)</t>
        </is>
      </c>
      <c r="O5" s="6" t="inlineStr">
        <is>
          <t>Edwards Annual PM</t>
        </is>
      </c>
      <c r="P5" s="8" t="inlineStr">
        <is>
          <t>Post-Brexit logistics; Busch backup activated</t>
        </is>
      </c>
    </row>
    <row r="6">
      <c r="A6" s="6" t="inlineStr">
        <is>
          <t>AST-002</t>
        </is>
      </c>
      <c r="B6" s="6" t="inlineStr">
        <is>
          <t>EQ-002</t>
        </is>
      </c>
      <c r="C6" s="6" t="inlineStr">
        <is>
          <t>Turbomolecular Pump (x3)</t>
        </is>
      </c>
      <c r="D6" s="6" t="inlineStr">
        <is>
          <t>TMP-2025-101/103</t>
        </is>
      </c>
      <c r="E6" s="43" t="n">
        <v>3</v>
      </c>
      <c r="F6" s="6" t="inlineStr">
        <is>
          <t>Bay A — Vacuum Zone</t>
        </is>
      </c>
      <c r="G6" s="40" t="inlineStr">
        <is>
          <t>IN PRODUCTION</t>
        </is>
      </c>
      <c r="H6" s="6" t="inlineStr">
        <is>
          <t>2025-02-20</t>
        </is>
      </c>
      <c r="I6" s="6" t="inlineStr">
        <is>
          <t>2025-11-01</t>
        </is>
      </c>
      <c r="J6" s="6" t="inlineStr">
        <is>
          <t>2025-12-15</t>
        </is>
      </c>
      <c r="K6" s="43" t="n">
        <v>8</v>
      </c>
      <c r="L6" s="43" t="n">
        <v>2033</v>
      </c>
      <c r="M6" s="48" t="n">
        <v>1200000</v>
      </c>
      <c r="N6" s="6" t="inlineStr">
        <is>
          <t>2025-Q4 (see contract)</t>
        </is>
      </c>
      <c r="O6" s="6" t="inlineStr">
        <is>
          <t>Pfeiffer 24/7 support</t>
        </is>
      </c>
      <c r="P6" s="8" t="inlineStr">
        <is>
          <t>CRITICAL path item; bearing safety stock maintained</t>
        </is>
      </c>
    </row>
    <row r="7">
      <c r="A7" s="6" t="inlineStr">
        <is>
          <t>AST-003</t>
        </is>
      </c>
      <c r="B7" s="6" t="inlineStr">
        <is>
          <t>EQ-003</t>
        </is>
      </c>
      <c r="C7" s="6" t="inlineStr">
        <is>
          <t>Tube Furnace System (x2)</t>
        </is>
      </c>
      <c r="D7" s="6" t="inlineStr">
        <is>
          <t>THF-2025-201/202</t>
        </is>
      </c>
      <c r="E7" s="43" t="n">
        <v>2</v>
      </c>
      <c r="F7" s="6" t="inlineStr">
        <is>
          <t>Bay B — Thermal Zone</t>
        </is>
      </c>
      <c r="G7" s="40" t="inlineStr">
        <is>
          <t>IN PRODUCTION</t>
        </is>
      </c>
      <c r="H7" s="6" t="inlineStr">
        <is>
          <t>2025-01-20</t>
        </is>
      </c>
      <c r="I7" s="6" t="inlineStr">
        <is>
          <t>2025-09-15</t>
        </is>
      </c>
      <c r="J7" s="6" t="inlineStr">
        <is>
          <t>2025-11-20</t>
        </is>
      </c>
      <c r="K7" s="43" t="n">
        <v>13</v>
      </c>
      <c r="L7" s="43" t="n">
        <v>2038</v>
      </c>
      <c r="M7" s="48" t="n">
        <v>1350000</v>
      </c>
      <c r="N7" s="6" t="inlineStr">
        <is>
          <t>2025-Q4 (see contract)</t>
        </is>
      </c>
      <c r="O7" s="6" t="inlineStr">
        <is>
          <t>Thermco 3yr full service</t>
        </is>
      </c>
      <c r="P7" s="8" t="inlineStr">
        <is>
          <t>FAT completed Austin TX; recipe transfer done</t>
        </is>
      </c>
    </row>
    <row r="8">
      <c r="A8" s="6" t="inlineStr">
        <is>
          <t>AST-004</t>
        </is>
      </c>
      <c r="B8" s="6" t="inlineStr">
        <is>
          <t>EQ-004</t>
        </is>
      </c>
      <c r="C8" s="6" t="inlineStr">
        <is>
          <t>Batch Oxidation Furnace (x2)</t>
        </is>
      </c>
      <c r="D8" s="6" t="inlineStr">
        <is>
          <t>BOF-2025-301/302</t>
        </is>
      </c>
      <c r="E8" s="43" t="n">
        <v>2</v>
      </c>
      <c r="F8" s="6" t="inlineStr">
        <is>
          <t>Bay B — Thermal Zone</t>
        </is>
      </c>
      <c r="G8" s="46" t="inlineStr">
        <is>
          <t>QUALIFIED — PQ in progress</t>
        </is>
      </c>
      <c r="H8" s="6" t="inlineStr">
        <is>
          <t>2025-02-10</t>
        </is>
      </c>
      <c r="I8" s="6" t="inlineStr">
        <is>
          <t>2025-11-15</t>
        </is>
      </c>
      <c r="J8" s="6" t="inlineStr">
        <is>
          <t>Pending</t>
        </is>
      </c>
      <c r="K8" s="43" t="n">
        <v>13</v>
      </c>
      <c r="L8" s="43" t="n">
        <v>2038</v>
      </c>
      <c r="M8" s="48" t="n">
        <v>1700000</v>
      </c>
      <c r="N8" s="6" t="inlineStr">
        <is>
          <t>2025-Q4 (see contract)</t>
        </is>
      </c>
      <c r="O8" s="6" t="inlineStr">
        <is>
          <t>TEL 3yr comprehensive</t>
        </is>
      </c>
      <c r="P8" s="8" t="inlineStr">
        <is>
          <t>JPY FX hedged; structural reinforcement complete</t>
        </is>
      </c>
    </row>
    <row r="9">
      <c r="A9" s="6" t="inlineStr">
        <is>
          <t>AST-005</t>
        </is>
      </c>
      <c r="B9" s="6" t="inlineStr">
        <is>
          <t>EQ-005</t>
        </is>
      </c>
      <c r="C9" s="6" t="inlineStr">
        <is>
          <t>SCARA Robot (x6)</t>
        </is>
      </c>
      <c r="D9" s="6" t="inlineStr">
        <is>
          <t>SCR-2025-401/406</t>
        </is>
      </c>
      <c r="E9" s="43" t="n">
        <v>6</v>
      </c>
      <c r="F9" s="6" t="inlineStr">
        <is>
          <t>Bay C — Robotics Zone</t>
        </is>
      </c>
      <c r="G9" s="40" t="inlineStr">
        <is>
          <t>IN PRODUCTION</t>
        </is>
      </c>
      <c r="H9" s="6" t="inlineStr">
        <is>
          <t>2025-01-15</t>
        </is>
      </c>
      <c r="I9" s="6" t="inlineStr">
        <is>
          <t>2025-09-01</t>
        </is>
      </c>
      <c r="J9" s="6" t="inlineStr">
        <is>
          <t>2025-11-10</t>
        </is>
      </c>
      <c r="K9" s="43" t="n">
        <v>8</v>
      </c>
      <c r="L9" s="43" t="n">
        <v>2033</v>
      </c>
      <c r="M9" s="48" t="n">
        <v>2200000</v>
      </c>
      <c r="N9" s="6" t="inlineStr">
        <is>
          <t>2025-Q4 (see contract)</t>
        </is>
      </c>
      <c r="O9" s="6" t="inlineStr">
        <is>
          <t>Brooks MES+mech 2yr</t>
        </is>
      </c>
      <c r="P9" s="8" t="inlineStr">
        <is>
          <t>MES integration verified; OEE above plan</t>
        </is>
      </c>
    </row>
    <row r="10">
      <c r="A10" s="6" t="inlineStr">
        <is>
          <t>AST-006</t>
        </is>
      </c>
      <c r="B10" s="6" t="inlineStr">
        <is>
          <t>EQ-006</t>
        </is>
      </c>
      <c r="C10" s="6" t="inlineStr">
        <is>
          <t>Overhead Conveyor (x1 system)</t>
        </is>
      </c>
      <c r="D10" s="6" t="inlineStr">
        <is>
          <t>OTC-2025-501</t>
        </is>
      </c>
      <c r="E10" s="43" t="n">
        <v>1</v>
      </c>
      <c r="F10" s="6" t="inlineStr">
        <is>
          <t>Bays A-C — Overhead Track</t>
        </is>
      </c>
      <c r="G10" s="46" t="inlineStr">
        <is>
          <t>INSTALLED — commissioning</t>
        </is>
      </c>
      <c r="H10" s="6" t="inlineStr">
        <is>
          <t>2025-02-20</t>
        </is>
      </c>
      <c r="I10" s="6" t="inlineStr">
        <is>
          <t>2025-11-20</t>
        </is>
      </c>
      <c r="J10" s="6" t="inlineStr">
        <is>
          <t>Pending</t>
        </is>
      </c>
      <c r="K10" s="43" t="n">
        <v>10</v>
      </c>
      <c r="L10" s="43" t="n">
        <v>2035</v>
      </c>
      <c r="M10" s="48" t="n">
        <v>560000</v>
      </c>
      <c r="N10" s="6" t="inlineStr">
        <is>
          <t>2025-Q4 (see contract)</t>
        </is>
      </c>
      <c r="O10" s="6" t="inlineStr">
        <is>
          <t>Daifuku civil+mech 2yr</t>
        </is>
      </c>
      <c r="P10" s="8" t="inlineStr">
        <is>
          <t>Civil interface complete; Wi-Fi nav calibration in progress</t>
        </is>
      </c>
    </row>
    <row r="11">
      <c r="A11" s="6" t="inlineStr">
        <is>
          <t>AST-007</t>
        </is>
      </c>
      <c r="B11" s="6" t="inlineStr">
        <is>
          <t>EQ-007</t>
        </is>
      </c>
      <c r="C11" s="6" t="inlineStr">
        <is>
          <t>Process Gas Cabinet (x4)</t>
        </is>
      </c>
      <c r="D11" s="6" t="inlineStr">
        <is>
          <t>PGC-2025-601/604</t>
        </is>
      </c>
      <c r="E11" s="43" t="n">
        <v>4</v>
      </c>
      <c r="F11" s="6" t="inlineStr">
        <is>
          <t>Bay D — Gas Room</t>
        </is>
      </c>
      <c r="G11" s="40" t="inlineStr">
        <is>
          <t>IN PRODUCTION</t>
        </is>
      </c>
      <c r="H11" s="6" t="inlineStr">
        <is>
          <t>2025-02-28</t>
        </is>
      </c>
      <c r="I11" s="6" t="inlineStr">
        <is>
          <t>2025-10-01</t>
        </is>
      </c>
      <c r="J11" s="6" t="inlineStr">
        <is>
          <t>2025-11-30</t>
        </is>
      </c>
      <c r="K11" s="43" t="n">
        <v>10</v>
      </c>
      <c r="L11" s="43" t="n">
        <v>2035</v>
      </c>
      <c r="M11" s="48" t="n">
        <v>1040000</v>
      </c>
      <c r="N11" s="6" t="inlineStr">
        <is>
          <t>2025-Q4 (see contract)</t>
        </is>
      </c>
      <c r="O11" s="6" t="inlineStr">
        <is>
          <t>Air Liquide annual cert</t>
        </is>
      </c>
      <c r="P11" s="8" t="inlineStr">
        <is>
          <t>Hazmat permit closed; MFC calibration schedule active</t>
        </is>
      </c>
    </row>
    <row r="12">
      <c r="A12" s="6" t="inlineStr">
        <is>
          <t>AST-008</t>
        </is>
      </c>
      <c r="B12" s="6" t="inlineStr">
        <is>
          <t>EQ-008</t>
        </is>
      </c>
      <c r="C12" s="6" t="inlineStr">
        <is>
          <t>Bulk Gas Storage (x1 system)</t>
        </is>
      </c>
      <c r="D12" s="6" t="inlineStr">
        <is>
          <t>BGS-2025-701</t>
        </is>
      </c>
      <c r="E12" s="43" t="n">
        <v>1</v>
      </c>
      <c r="F12" s="6" t="inlineStr">
        <is>
          <t>External — Tank Farm</t>
        </is>
      </c>
      <c r="G12" s="40" t="inlineStr">
        <is>
          <t>IN PRODUCTION</t>
        </is>
      </c>
      <c r="H12" s="6" t="inlineStr">
        <is>
          <t>2025-02-20</t>
        </is>
      </c>
      <c r="I12" s="6" t="inlineStr">
        <is>
          <t>2025-11-10</t>
        </is>
      </c>
      <c r="J12" s="6" t="inlineStr">
        <is>
          <t>2025-12-01</t>
        </is>
      </c>
      <c r="K12" s="43" t="n">
        <v>18</v>
      </c>
      <c r="L12" s="43" t="n">
        <v>2043</v>
      </c>
      <c r="M12" s="48" t="n">
        <v>450000</v>
      </c>
      <c r="N12" s="6" t="inlineStr">
        <is>
          <t>2025-Q4 (see contract)</t>
        </is>
      </c>
      <c r="O12" s="6" t="inlineStr">
        <is>
          <t>Linde site contract</t>
        </is>
      </c>
      <c r="P12" s="8" t="inlineStr">
        <is>
          <t>32-wk LT; on-site Linde maintenance contract</t>
        </is>
      </c>
    </row>
    <row r="13">
      <c r="A13" s="6" t="inlineStr">
        <is>
          <t>AST-009</t>
        </is>
      </c>
      <c r="B13" s="6" t="inlineStr">
        <is>
          <t>EQ-009</t>
        </is>
      </c>
      <c r="C13" s="6" t="inlineStr">
        <is>
          <t>DCS — Siemens S7-1500 (x5)</t>
        </is>
      </c>
      <c r="D13" s="6" t="inlineStr">
        <is>
          <t>DCS-2025-801/805</t>
        </is>
      </c>
      <c r="E13" s="43" t="n">
        <v>5</v>
      </c>
      <c r="F13" s="6" t="inlineStr">
        <is>
          <t>Control Room</t>
        </is>
      </c>
      <c r="G13" s="40" t="inlineStr">
        <is>
          <t>IN PRODUCTION</t>
        </is>
      </c>
      <c r="H13" s="6" t="inlineStr">
        <is>
          <t>2025-01-28</t>
        </is>
      </c>
      <c r="I13" s="6" t="inlineStr">
        <is>
          <t>2025-09-01</t>
        </is>
      </c>
      <c r="J13" s="6" t="inlineStr">
        <is>
          <t>2025-11-01</t>
        </is>
      </c>
      <c r="K13" s="43" t="n">
        <v>8</v>
      </c>
      <c r="L13" s="43" t="n">
        <v>2033</v>
      </c>
      <c r="M13" s="48" t="n">
        <v>1100000</v>
      </c>
      <c r="N13" s="6" t="inlineStr">
        <is>
          <t>2025-Q4 (see contract)</t>
        </is>
      </c>
      <c r="O13" s="6" t="inlineStr">
        <is>
          <t>Siemens Gold Support</t>
        </is>
      </c>
      <c r="P13" s="8" t="inlineStr">
        <is>
          <t>Cybersecurity audit Month 4; LTA pricing locked</t>
        </is>
      </c>
    </row>
    <row r="14">
      <c r="A14" s="6" t="inlineStr">
        <is>
          <t>AST-010</t>
        </is>
      </c>
      <c r="B14" s="6" t="inlineStr">
        <is>
          <t>EQ-010</t>
        </is>
      </c>
      <c r="C14" s="6" t="inlineStr">
        <is>
          <t>SCADA Platform (x3 licenses)</t>
        </is>
      </c>
      <c r="D14" s="6" t="inlineStr">
        <is>
          <t>SCA-2025-901/903</t>
        </is>
      </c>
      <c r="E14" s="43" t="n">
        <v>3</v>
      </c>
      <c r="F14" s="6" t="inlineStr">
        <is>
          <t>Control Room (virtual)</t>
        </is>
      </c>
      <c r="G14" s="40" t="inlineStr">
        <is>
          <t>IN PRODUCTION</t>
        </is>
      </c>
      <c r="H14" s="6" t="inlineStr">
        <is>
          <t>2025-02-05</t>
        </is>
      </c>
      <c r="I14" s="6" t="inlineStr">
        <is>
          <t>2025-09-01</t>
        </is>
      </c>
      <c r="J14" s="6" t="inlineStr">
        <is>
          <t>2025-11-01</t>
        </is>
      </c>
      <c r="K14" s="43" t="n">
        <v>6</v>
      </c>
      <c r="L14" s="43" t="n">
        <v>2031</v>
      </c>
      <c r="M14" s="48" t="n">
        <v>330000</v>
      </c>
      <c r="N14" s="6" t="inlineStr">
        <is>
          <t>2025-Q4 (see contract)</t>
        </is>
      </c>
      <c r="O14" s="6" t="inlineStr">
        <is>
          <t>Inductive Auto subscription</t>
        </is>
      </c>
      <c r="P14" s="8" t="inlineStr">
        <is>
          <t>Annual license renewal; IT/OT integration stable</t>
        </is>
      </c>
    </row>
    <row r="15">
      <c r="A15" s="6" t="inlineStr">
        <is>
          <t>AST-011</t>
        </is>
      </c>
      <c r="B15" s="6" t="inlineStr">
        <is>
          <t>EQ-011</t>
        </is>
      </c>
      <c r="C15" s="6" t="inlineStr">
        <is>
          <t>Dry-Type Transformer (x2)</t>
        </is>
      </c>
      <c r="D15" s="6" t="inlineStr">
        <is>
          <t>TRF-2025-1001/1002</t>
        </is>
      </c>
      <c r="E15" s="43" t="n">
        <v>2</v>
      </c>
      <c r="F15" s="6" t="inlineStr">
        <is>
          <t>Electrical Room</t>
        </is>
      </c>
      <c r="G15" s="40" t="inlineStr">
        <is>
          <t>IN PRODUCTION</t>
        </is>
      </c>
      <c r="H15" s="6" t="inlineStr">
        <is>
          <t>2025-02-01</t>
        </is>
      </c>
      <c r="I15" s="6" t="inlineStr">
        <is>
          <t>2025-08-15</t>
        </is>
      </c>
      <c r="J15" s="6" t="inlineStr">
        <is>
          <t>2025-10-01</t>
        </is>
      </c>
      <c r="K15" s="43" t="n">
        <v>23</v>
      </c>
      <c r="L15" s="43" t="n">
        <v>2048</v>
      </c>
      <c r="M15" s="48" t="n">
        <v>560000</v>
      </c>
      <c r="N15" s="6" t="inlineStr">
        <is>
          <t>2050-02-01</t>
        </is>
      </c>
      <c r="O15" s="6" t="inlineStr">
        <is>
          <t>ABB manufacturer warranty</t>
        </is>
      </c>
      <c r="P15" s="8" t="inlineStr">
        <is>
          <t>Reused partial from prior program; new units installed</t>
        </is>
      </c>
    </row>
    <row r="16">
      <c r="A16" s="6" t="inlineStr">
        <is>
          <t>AST-012</t>
        </is>
      </c>
      <c r="B16" s="6" t="inlineStr">
        <is>
          <t>EQ-012</t>
        </is>
      </c>
      <c r="C16" s="6" t="inlineStr">
        <is>
          <t>Process Chiller (x3)</t>
        </is>
      </c>
      <c r="D16" s="6" t="inlineStr">
        <is>
          <t>PCH-2025-1101/1103</t>
        </is>
      </c>
      <c r="E16" s="43" t="n">
        <v>3</v>
      </c>
      <c r="F16" s="6" t="inlineStr">
        <is>
          <t>Mechanical Room</t>
        </is>
      </c>
      <c r="G16" s="40" t="inlineStr">
        <is>
          <t>IN PRODUCTION</t>
        </is>
      </c>
      <c r="H16" s="6" t="inlineStr">
        <is>
          <t>2025-01-30</t>
        </is>
      </c>
      <c r="I16" s="6" t="inlineStr">
        <is>
          <t>2025-09-15</t>
        </is>
      </c>
      <c r="J16" s="6" t="inlineStr">
        <is>
          <t>2025-11-20</t>
        </is>
      </c>
      <c r="K16" s="43" t="n">
        <v>13</v>
      </c>
      <c r="L16" s="43" t="n">
        <v>2038</v>
      </c>
      <c r="M16" s="48" t="n">
        <v>1150000</v>
      </c>
      <c r="N16" s="6" t="inlineStr">
        <is>
          <t>2025-Q4 (see contract)</t>
        </is>
      </c>
      <c r="O16" s="6" t="inlineStr">
        <is>
          <t>Daikin annual PM</t>
        </is>
      </c>
      <c r="P16" s="8" t="inlineStr">
        <is>
          <t>Glycol loop stable; JPY FX hedged</t>
        </is>
      </c>
    </row>
    <row r="17">
      <c r="A17" s="6" t="inlineStr">
        <is>
          <t>AST-013</t>
        </is>
      </c>
      <c r="B17" s="6" t="inlineStr">
        <is>
          <t>EQ-013</t>
        </is>
      </c>
      <c r="C17" s="6" t="inlineStr">
        <is>
          <t>Roots Blower Booster (x6)</t>
        </is>
      </c>
      <c r="D17" s="6" t="inlineStr">
        <is>
          <t>RBB-2025-1201/1206</t>
        </is>
      </c>
      <c r="E17" s="43" t="n">
        <v>6</v>
      </c>
      <c r="F17" s="6" t="inlineStr">
        <is>
          <t>Bay A — Vacuum Zone</t>
        </is>
      </c>
      <c r="G17" s="40" t="inlineStr">
        <is>
          <t>IN PRODUCTION</t>
        </is>
      </c>
      <c r="H17" s="6" t="inlineStr">
        <is>
          <t>2025-01-28</t>
        </is>
      </c>
      <c r="I17" s="6" t="inlineStr">
        <is>
          <t>2025-09-01</t>
        </is>
      </c>
      <c r="J17" s="6" t="inlineStr">
        <is>
          <t>2025-11-15</t>
        </is>
      </c>
      <c r="K17" s="43" t="n">
        <v>8</v>
      </c>
      <c r="L17" s="43" t="n">
        <v>2033</v>
      </c>
      <c r="M17" s="48" t="n">
        <v>975000</v>
      </c>
      <c r="N17" s="6" t="inlineStr">
        <is>
          <t>2025-Q4 (see contract)</t>
        </is>
      </c>
      <c r="O17" s="6" t="inlineStr">
        <is>
          <t>Busch annual PM</t>
        </is>
      </c>
      <c r="P17" s="8" t="inlineStr">
        <is>
          <t>Paired with EQ-001; coordinated maintenance schedule</t>
        </is>
      </c>
    </row>
    <row r="18">
      <c r="A18" s="6" t="inlineStr">
        <is>
          <t>AST-014</t>
        </is>
      </c>
      <c r="B18" s="6" t="inlineStr">
        <is>
          <t>EQ-014</t>
        </is>
      </c>
      <c r="C18" s="6" t="inlineStr">
        <is>
          <t>RTP Tool (x2)</t>
        </is>
      </c>
      <c r="D18" s="6" t="inlineStr">
        <is>
          <t>RTP-2025-1301/1302</t>
        </is>
      </c>
      <c r="E18" s="43" t="n">
        <v>2</v>
      </c>
      <c r="F18" s="6" t="inlineStr">
        <is>
          <t>Bay B — Thermal Zone</t>
        </is>
      </c>
      <c r="G18" s="40" t="inlineStr">
        <is>
          <t>IN PRODUCTION</t>
        </is>
      </c>
      <c r="H18" s="6" t="inlineStr">
        <is>
          <t>2025-02-01</t>
        </is>
      </c>
      <c r="I18" s="6" t="inlineStr">
        <is>
          <t>2025-10-20</t>
        </is>
      </c>
      <c r="J18" s="6" t="inlineStr">
        <is>
          <t>2025-12-01</t>
        </is>
      </c>
      <c r="K18" s="43" t="n">
        <v>10</v>
      </c>
      <c r="L18" s="43" t="n">
        <v>2035</v>
      </c>
      <c r="M18" s="48" t="n">
        <v>2300000</v>
      </c>
      <c r="N18" s="6" t="inlineStr">
        <is>
          <t>2025-Q4 (see contract)</t>
        </is>
      </c>
      <c r="O18" s="6" t="inlineStr">
        <is>
          <t>AMAT comprehensive 3yr</t>
        </is>
      </c>
      <c r="P18" s="8" t="inlineStr">
        <is>
          <t>Highest-value asset; AMAT dedicated FSE on-site Q4-2025</t>
        </is>
      </c>
    </row>
    <row r="19">
      <c r="A19" s="6" t="inlineStr">
        <is>
          <t>AST-015</t>
        </is>
      </c>
      <c r="B19" s="6" t="inlineStr">
        <is>
          <t>EQ-015</t>
        </is>
      </c>
      <c r="C19" s="6" t="inlineStr">
        <is>
          <t>AMR Fleet (x10 robots)</t>
        </is>
      </c>
      <c r="D19" s="6" t="inlineStr">
        <is>
          <t>AMR-2025-1401/1410</t>
        </is>
      </c>
      <c r="E19" s="43" t="n">
        <v>10</v>
      </c>
      <c r="F19" s="6" t="inlineStr">
        <is>
          <t>All Bays — Fleet routing</t>
        </is>
      </c>
      <c r="G19" s="40" t="inlineStr">
        <is>
          <t>IN PRODUCTION</t>
        </is>
      </c>
      <c r="H19" s="6" t="inlineStr">
        <is>
          <t>2025-02-05</t>
        </is>
      </c>
      <c r="I19" s="6" t="inlineStr">
        <is>
          <t>2025-09-15</t>
        </is>
      </c>
      <c r="J19" s="6" t="inlineStr">
        <is>
          <t>2025-11-15</t>
        </is>
      </c>
      <c r="K19" s="43" t="n">
        <v>6</v>
      </c>
      <c r="L19" s="43" t="n">
        <v>2031</v>
      </c>
      <c r="M19" s="48" t="n">
        <v>500000</v>
      </c>
      <c r="N19" s="6" t="inlineStr">
        <is>
          <t>2025-Q4 (see contract)</t>
        </is>
      </c>
      <c r="O19" s="6" t="inlineStr">
        <is>
          <t>MiR fleet management sub</t>
        </is>
      </c>
      <c r="P19" s="8" t="inlineStr">
        <is>
          <t>Wi-Fi integration stable; Phase 2 routing optimization pending</t>
        </is>
      </c>
    </row>
    <row r="22" ht="18" customHeight="1">
      <c r="A22" s="100" t="inlineStr">
        <is>
          <t>FLEET SUMMARY</t>
        </is>
      </c>
    </row>
    <row r="23">
      <c r="A23" s="6" t="inlineStr">
        <is>
          <t>Total Assets Tracked (sum of Qty)</t>
        </is>
      </c>
      <c r="B23" s="49">
        <f>SUM(E5:E19)</f>
        <v/>
      </c>
    </row>
    <row r="24">
      <c r="A24" s="6" t="inlineStr">
        <is>
          <t>Equipment Platforms</t>
        </is>
      </c>
      <c r="B24" s="49">
        <f>COUNTA(A5:A19)</f>
        <v/>
      </c>
    </row>
    <row r="25">
      <c r="A25" s="6" t="inlineStr">
        <is>
          <t>Assets In Production (platforms)</t>
        </is>
      </c>
      <c r="B25" s="49">
        <f>COUNTIF(G5:G19,"IN PRODUCTION")</f>
        <v/>
      </c>
    </row>
    <row r="26">
      <c r="A26" s="6" t="inlineStr">
        <is>
          <t>Total Replacement Value (Portfolio, USD)</t>
        </is>
      </c>
      <c r="B26" s="50">
        <f>SUM(M5:M19)</f>
        <v/>
      </c>
    </row>
    <row r="27">
      <c r="A27" s="6" t="inlineStr">
        <is>
          <t>Average Remaining Lifetime (yrs)</t>
        </is>
      </c>
      <c r="B27" s="51">
        <f>AVERAGE(K5:K19)</f>
        <v/>
      </c>
    </row>
  </sheetData>
  <mergeCells count="3">
    <mergeCell ref="A1:P1"/>
    <mergeCell ref="A22:B22"/>
    <mergeCell ref="A2:P2"/>
  </mergeCells>
  <pageMargins left="0.75" right="0.75" top="1" bottom="1" header="0.5" footer="0.5"/>
</worksheet>
</file>

<file path=xl/worksheets/sheet29.xml><?xml version="1.0" encoding="utf-8"?>
<worksheet xmlns="http://schemas.openxmlformats.org/spreadsheetml/2006/main">
  <sheetPr>
    <tabColor rgb="00C0392B"/>
    <outlinePr summaryBelow="1" summaryRight="1"/>
    <pageSetUpPr/>
  </sheetPr>
  <dimension ref="A1:L46"/>
  <sheetViews>
    <sheetView workbookViewId="0">
      <pane ySplit="5" topLeftCell="A6" activePane="bottomLeft" state="frozen"/>
      <selection pane="bottomLeft" activeCell="A1" sqref="A1"/>
    </sheetView>
  </sheetViews>
  <sheetFormatPr baseColWidth="8" defaultRowHeight="15"/>
  <cols>
    <col width="11" customWidth="1" min="1" max="1"/>
    <col width="34" customWidth="1" min="2" max="2"/>
    <col width="13" customWidth="1" min="3" max="3"/>
    <col width="13" customWidth="1" min="4" max="4"/>
    <col width="13" customWidth="1" min="5" max="5"/>
    <col width="12" customWidth="1" min="6" max="6"/>
    <col width="22" customWidth="1" min="7" max="7"/>
    <col width="12" customWidth="1" min="8" max="8"/>
    <col width="12" customWidth="1" min="9" max="9"/>
    <col width="10" customWidth="1" min="10" max="10"/>
    <col width="55" customWidth="1" min="11" max="11"/>
  </cols>
  <sheetData>
    <row r="1" ht="26" customHeight="1">
      <c r="A1" s="104" t="inlineStr">
        <is>
          <t>S25 — Program Milestone &amp; Gate Review Tracker — Greenfield Expansion Phase II</t>
        </is>
      </c>
    </row>
    <row r="2" ht="15" customHeight="1">
      <c r="A2" s="2" t="inlineStr">
        <is>
          <t>Gate-controlled program: G0 Concept -&gt; G1 Definition -&gt; G2 Execution -&gt; G3 Commissioning -&gt; G4 Qualification -&gt; G5 Production Release | All gate entry criteria must be GREEN before approval; AMBER items require documented acceptance; RED items are blockers.</t>
        </is>
      </c>
    </row>
    <row r="4" ht="18" customHeight="1">
      <c r="A4" s="105" t="inlineStr">
        <is>
          <t>GATE REVIEW STATUS SUMMARY</t>
        </is>
      </c>
    </row>
    <row r="5" ht="30" customHeight="1">
      <c r="A5" s="106" t="inlineStr">
        <is>
          <t>Gate</t>
        </is>
      </c>
      <c r="B5" s="106" t="inlineStr">
        <is>
          <t>Gate Name</t>
        </is>
      </c>
      <c r="C5" s="106" t="inlineStr">
        <is>
          <t>Target Date</t>
        </is>
      </c>
      <c r="D5" s="106" t="inlineStr">
        <is>
          <t>Actual/Forecast Date</t>
        </is>
      </c>
      <c r="E5" s="106" t="inlineStr">
        <is>
          <t>Gate Status</t>
        </is>
      </c>
      <c r="F5" s="106" t="inlineStr">
        <is>
          <t>Entry Criteria Met</t>
        </is>
      </c>
      <c r="G5" s="106" t="inlineStr">
        <is>
          <t>Approver</t>
        </is>
      </c>
      <c r="H5" s="106" t="inlineStr">
        <is>
          <t>Approval Date</t>
        </is>
      </c>
      <c r="I5" s="106" t="inlineStr">
        <is>
          <t>Open Blockers (count)</t>
        </is>
      </c>
      <c r="J5" s="106" t="inlineStr">
        <is>
          <t>Decision</t>
        </is>
      </c>
      <c r="K5" s="106" t="inlineStr">
        <is>
          <t>Notes</t>
        </is>
      </c>
    </row>
    <row r="6">
      <c r="A6" s="6" t="inlineStr">
        <is>
          <t>G0</t>
        </is>
      </c>
      <c r="B6" s="6" t="inlineStr">
        <is>
          <t>Program Concept &amp; Business Case</t>
        </is>
      </c>
      <c r="C6" s="6" t="inlineStr">
        <is>
          <t>2025-02-28</t>
        </is>
      </c>
      <c r="D6" s="6" t="inlineStr">
        <is>
          <t>2025-03-10</t>
        </is>
      </c>
      <c r="E6" s="40" t="inlineStr">
        <is>
          <t>APPROVED</t>
        </is>
      </c>
      <c r="F6" s="32" t="n">
        <v>1</v>
      </c>
      <c r="G6" s="6" t="inlineStr">
        <is>
          <t>VP Engineering + CFO</t>
        </is>
      </c>
      <c r="H6" s="6" t="inlineStr">
        <is>
          <t>2025-03-10</t>
        </is>
      </c>
      <c r="I6" s="43" t="n">
        <v>0</v>
      </c>
      <c r="J6" s="40" t="inlineStr">
        <is>
          <t>GO</t>
        </is>
      </c>
      <c r="K6" s="8" t="inlineStr">
        <is>
          <t>Business case approved. Scenario B selected. AR-2025-0082 submitted. All G0 criteria met.</t>
        </is>
      </c>
    </row>
    <row r="7">
      <c r="A7" s="6" t="inlineStr">
        <is>
          <t>G1</t>
        </is>
      </c>
      <c r="B7" s="6" t="inlineStr">
        <is>
          <t>Supplier Selection &amp; AR Approval</t>
        </is>
      </c>
      <c r="C7" s="6" t="inlineStr">
        <is>
          <t>2025-04-07</t>
        </is>
      </c>
      <c r="D7" s="6" t="inlineStr">
        <is>
          <t>2025-04-05</t>
        </is>
      </c>
      <c r="E7" s="40" t="inlineStr">
        <is>
          <t>APPROVED</t>
        </is>
      </c>
      <c r="F7" s="32" t="n">
        <v>0.95</v>
      </c>
      <c r="G7" s="6" t="inlineStr">
        <is>
          <t>VP Engineering + CFO</t>
        </is>
      </c>
      <c r="H7" s="6" t="inlineStr">
        <is>
          <t>2025-04-07</t>
        </is>
      </c>
      <c r="I7" s="43" t="n">
        <v>1</v>
      </c>
      <c r="J7" s="46" t="inlineStr">
        <is>
          <t>CONDITIONAL GO</t>
        </is>
      </c>
      <c r="K7" s="8" t="inlineStr">
        <is>
          <t>AR approved. All POs placed except EQ-007 (Air Liquide quote negotiation ongoing). Conditional GO: EQ-007 PO must be placed within 2 weeks.</t>
        </is>
      </c>
    </row>
    <row r="8">
      <c r="A8" s="6" t="inlineStr">
        <is>
          <t>G2</t>
        </is>
      </c>
      <c r="B8" s="6" t="inlineStr">
        <is>
          <t>Equipment Build &amp; FAT Complete</t>
        </is>
      </c>
      <c r="C8" s="6" t="inlineStr">
        <is>
          <t>2025-09-01</t>
        </is>
      </c>
      <c r="D8" s="6" t="inlineStr">
        <is>
          <t>2025-09-08</t>
        </is>
      </c>
      <c r="E8" s="46" t="inlineStr">
        <is>
          <t>IN PROGRESS</t>
        </is>
      </c>
      <c r="F8" s="32" t="n">
        <v>0.6</v>
      </c>
      <c r="G8" s="6" t="inlineStr">
        <is>
          <t>Director of Engineering</t>
        </is>
      </c>
      <c r="H8" s="6" t="inlineStr">
        <is>
          <t>TBD</t>
        </is>
      </c>
      <c r="I8" s="43" t="n">
        <v>3</v>
      </c>
      <c r="J8" s="76" t="inlineStr">
        <is>
          <t>PENDING</t>
        </is>
      </c>
      <c r="K8" s="8" t="inlineStr">
        <is>
          <t>EQ-003 FAT complete. EQ-004, EQ-014 FAT scheduled. EQ-002 at risk due to Pfeiffer lead time. 3 open blockers: EQ-002 delivery, EQ-007 hazmat permit, EQ-006 civil drawing freeze.</t>
        </is>
      </c>
    </row>
    <row r="9">
      <c r="A9" s="6" t="inlineStr">
        <is>
          <t>G3</t>
        </is>
      </c>
      <c r="B9" s="6" t="inlineStr">
        <is>
          <t>Site Installation &amp; Utility Commissioning</t>
        </is>
      </c>
      <c r="C9" s="6" t="inlineStr">
        <is>
          <t>2025-10-27</t>
        </is>
      </c>
      <c r="D9" s="6" t="inlineStr">
        <is>
          <t>2025-10-27</t>
        </is>
      </c>
      <c r="E9" s="76" t="inlineStr">
        <is>
          <t>NOT STARTED</t>
        </is>
      </c>
      <c r="F9" s="32" t="n">
        <v>0</v>
      </c>
      <c r="G9" s="6" t="inlineStr">
        <is>
          <t>Program Manager</t>
        </is>
      </c>
      <c r="H9" s="6" t="inlineStr">
        <is>
          <t>TBD</t>
        </is>
      </c>
      <c r="I9" s="43" t="n">
        <v>0</v>
      </c>
      <c r="J9" s="76" t="inlineStr">
        <is>
          <t>TBD</t>
        </is>
      </c>
      <c r="K9" s="8" t="inlineStr">
        <is>
          <t>Gate G3 not yet in scope. Entry criteria to be reviewed at G2 approval. Key dependency: all equipment delivered and installed; utility hookup complete.</t>
        </is>
      </c>
    </row>
    <row r="10">
      <c r="A10" s="6" t="inlineStr">
        <is>
          <t>G4</t>
        </is>
      </c>
      <c r="B10" s="6" t="inlineStr">
        <is>
          <t>Process Qualification (PQ) Complete</t>
        </is>
      </c>
      <c r="C10" s="6" t="inlineStr">
        <is>
          <t>2025-11-24</t>
        </is>
      </c>
      <c r="D10" s="6" t="inlineStr">
        <is>
          <t>2025-11-24</t>
        </is>
      </c>
      <c r="E10" s="76" t="inlineStr">
        <is>
          <t>NOT STARTED</t>
        </is>
      </c>
      <c r="F10" s="32" t="n">
        <v>0</v>
      </c>
      <c r="G10" s="6" t="inlineStr">
        <is>
          <t>Director of Engineering</t>
        </is>
      </c>
      <c r="H10" s="6" t="inlineStr">
        <is>
          <t>TBD</t>
        </is>
      </c>
      <c r="I10" s="43" t="n">
        <v>0</v>
      </c>
      <c r="J10" s="76" t="inlineStr">
        <is>
          <t>TBD</t>
        </is>
      </c>
      <c r="K10" s="8" t="inlineStr">
        <is>
          <t>Gate G4 requires: PQ protocol approved; first-article wafer data reviewed; yield &gt;94%; equipment uptime demonstrated &gt;90% over 30-day window.</t>
        </is>
      </c>
    </row>
    <row r="11">
      <c r="A11" s="6" t="inlineStr">
        <is>
          <t>G5</t>
        </is>
      </c>
      <c r="B11" s="6" t="inlineStr">
        <is>
          <t>Production Release &amp; Ramp</t>
        </is>
      </c>
      <c r="C11" s="6" t="inlineStr">
        <is>
          <t>2025-12-08</t>
        </is>
      </c>
      <c r="D11" s="6" t="inlineStr">
        <is>
          <t>2025-12-08</t>
        </is>
      </c>
      <c r="E11" s="76" t="inlineStr">
        <is>
          <t>NOT STARTED</t>
        </is>
      </c>
      <c r="F11" s="32" t="n">
        <v>0</v>
      </c>
      <c r="G11" s="6" t="inlineStr">
        <is>
          <t>VP Engineering</t>
        </is>
      </c>
      <c r="H11" s="6" t="inlineStr">
        <is>
          <t>TBD</t>
        </is>
      </c>
      <c r="I11" s="43" t="n">
        <v>0</v>
      </c>
      <c r="J11" s="76" t="inlineStr">
        <is>
          <t>TBD</t>
        </is>
      </c>
      <c r="K11" s="8" t="inlineStr">
        <is>
          <t>Gate G5 requires: G4 approved; SOP training complete; spare parts inventory stocked; maintenance schedule published; manufacturing handover signed off.</t>
        </is>
      </c>
    </row>
    <row r="14" ht="18" customHeight="1">
      <c r="A14" s="105" t="inlineStr">
        <is>
          <t>DETAILED PROGRAM MILESTONES</t>
        </is>
      </c>
    </row>
    <row r="15" ht="30" customHeight="1">
      <c r="A15" s="106" t="inlineStr">
        <is>
          <t>Milestone ID</t>
        </is>
      </c>
      <c r="B15" s="106" t="inlineStr">
        <is>
          <t>Gate</t>
        </is>
      </c>
      <c r="C15" s="106" t="inlineStr">
        <is>
          <t>Milestone Description</t>
        </is>
      </c>
      <c r="D15" s="106" t="inlineStr">
        <is>
          <t>Equipment Ref</t>
        </is>
      </c>
      <c r="E15" s="106" t="inlineStr">
        <is>
          <t>Planned Date</t>
        </is>
      </c>
      <c r="F15" s="106" t="inlineStr">
        <is>
          <t>Forecast Date</t>
        </is>
      </c>
      <c r="G15" s="106" t="inlineStr">
        <is>
          <t>Actual Date</t>
        </is>
      </c>
      <c r="H15" s="106" t="inlineStr">
        <is>
          <t>Owner</t>
        </is>
      </c>
      <c r="I15" s="106" t="inlineStr">
        <is>
          <t>Status</t>
        </is>
      </c>
      <c r="J15" s="106" t="inlineStr">
        <is>
          <t>% Complete</t>
        </is>
      </c>
      <c r="K15" s="106" t="inlineStr">
        <is>
          <t>Predecessor</t>
        </is>
      </c>
      <c r="L15" s="106" t="inlineStr">
        <is>
          <t>Notes</t>
        </is>
      </c>
    </row>
    <row r="16">
      <c r="A16" s="6" t="inlineStr">
        <is>
          <t>M-001</t>
        </is>
      </c>
      <c r="B16" s="6" t="inlineStr">
        <is>
          <t>G0</t>
        </is>
      </c>
      <c r="C16" s="6" t="inlineStr">
        <is>
          <t>Business case and scenario analysis</t>
        </is>
      </c>
      <c r="D16" s="6" t="inlineStr">
        <is>
          <t>ALL</t>
        </is>
      </c>
      <c r="E16" s="6" t="inlineStr">
        <is>
          <t>2025-03-10</t>
        </is>
      </c>
      <c r="F16" s="6" t="inlineStr">
        <is>
          <t>2025-03-10</t>
        </is>
      </c>
      <c r="G16" s="6" t="inlineStr">
        <is>
          <t>2025-03-10</t>
        </is>
      </c>
      <c r="H16" s="6" t="inlineStr">
        <is>
          <t>Sourabh Tarodekar</t>
        </is>
      </c>
      <c r="I16" s="40" t="inlineStr">
        <is>
          <t>COMPLETE</t>
        </is>
      </c>
      <c r="J16" s="47" t="n">
        <v>1</v>
      </c>
      <c r="K16" s="6" t="inlineStr">
        <is>
          <t>—</t>
        </is>
      </c>
      <c r="L16" s="8" t="inlineStr">
        <is>
          <t>Scenario B approved; S13 model signed off by Finance</t>
        </is>
      </c>
    </row>
    <row r="17">
      <c r="A17" s="6" t="inlineStr">
        <is>
          <t>M-002</t>
        </is>
      </c>
      <c r="B17" s="6" t="inlineStr">
        <is>
          <t>G0</t>
        </is>
      </c>
      <c r="C17" s="6" t="inlineStr">
        <is>
          <t>Capital AR (AR-2025-0082) submitted to Finance</t>
        </is>
      </c>
      <c r="D17" s="6" t="inlineStr">
        <is>
          <t>ALL</t>
        </is>
      </c>
      <c r="E17" s="6" t="inlineStr">
        <is>
          <t>2025-03-19</t>
        </is>
      </c>
      <c r="F17" s="6" t="inlineStr">
        <is>
          <t>2025-03-19</t>
        </is>
      </c>
      <c r="G17" s="6" t="inlineStr">
        <is>
          <t>2025-03-19</t>
        </is>
      </c>
      <c r="H17" s="6" t="inlineStr">
        <is>
          <t>R. Patel</t>
        </is>
      </c>
      <c r="I17" s="40" t="inlineStr">
        <is>
          <t>COMPLETE</t>
        </is>
      </c>
      <c r="J17" s="47" t="n">
        <v>1</v>
      </c>
      <c r="K17" s="6" t="inlineStr">
        <is>
          <t>M-001</t>
        </is>
      </c>
      <c r="L17" s="8" t="inlineStr">
        <is>
          <t>AR submitted with full TCO and NPV justification</t>
        </is>
      </c>
    </row>
    <row r="18">
      <c r="A18" s="6" t="inlineStr">
        <is>
          <t>M-003</t>
        </is>
      </c>
      <c r="B18" s="6" t="inlineStr">
        <is>
          <t>G1</t>
        </is>
      </c>
      <c r="C18" s="6" t="inlineStr">
        <is>
          <t>AR approval received from VP Eng + CFO</t>
        </is>
      </c>
      <c r="D18" s="6" t="inlineStr">
        <is>
          <t>ALL</t>
        </is>
      </c>
      <c r="E18" s="6" t="inlineStr">
        <is>
          <t>2025-04-07</t>
        </is>
      </c>
      <c r="F18" s="6" t="inlineStr">
        <is>
          <t>2025-04-05</t>
        </is>
      </c>
      <c r="G18" s="6" t="inlineStr">
        <is>
          <t>2025-04-05</t>
        </is>
      </c>
      <c r="H18" s="6" t="inlineStr">
        <is>
          <t>Sourabh Tarodekar</t>
        </is>
      </c>
      <c r="I18" s="40" t="inlineStr">
        <is>
          <t>COMPLETE</t>
        </is>
      </c>
      <c r="J18" s="47" t="n">
        <v>1</v>
      </c>
      <c r="K18" s="6" t="inlineStr">
        <is>
          <t>M-002</t>
        </is>
      </c>
      <c r="L18" s="8" t="inlineStr">
        <is>
          <t>Approved ahead of schedule — enables early PO placement</t>
        </is>
      </c>
    </row>
    <row r="19">
      <c r="A19" s="6" t="inlineStr">
        <is>
          <t>M-004</t>
        </is>
      </c>
      <c r="B19" s="6" t="inlineStr">
        <is>
          <t>G1</t>
        </is>
      </c>
      <c r="C19" s="6" t="inlineStr">
        <is>
          <t>Long-lead POs placed (EQ-002, EQ-004, EQ-008, EQ-014)</t>
        </is>
      </c>
      <c r="D19" s="6" t="inlineStr">
        <is>
          <t>Multiple</t>
        </is>
      </c>
      <c r="E19" s="6" t="inlineStr">
        <is>
          <t>2025-04-07</t>
        </is>
      </c>
      <c r="F19" s="6" t="inlineStr">
        <is>
          <t>2025-04-05</t>
        </is>
      </c>
      <c r="G19" s="6" t="inlineStr">
        <is>
          <t>2025-04-05</t>
        </is>
      </c>
      <c r="H19" s="6" t="inlineStr">
        <is>
          <t>S. Kim</t>
        </is>
      </c>
      <c r="I19" s="40" t="inlineStr">
        <is>
          <t>COMPLETE</t>
        </is>
      </c>
      <c r="J19" s="47" t="n">
        <v>1</v>
      </c>
      <c r="K19" s="6" t="inlineStr">
        <is>
          <t>M-003</t>
        </is>
      </c>
      <c r="L19" s="8" t="inlineStr">
        <is>
          <t>All 4 long-lead POs placed. Supplier delivery schedules confirmed.</t>
        </is>
      </c>
    </row>
    <row r="20">
      <c r="A20" s="6" t="inlineStr">
        <is>
          <t>M-005</t>
        </is>
      </c>
      <c r="B20" s="6" t="inlineStr">
        <is>
          <t>G1</t>
        </is>
      </c>
      <c r="C20" s="6" t="inlineStr">
        <is>
          <t>EQ-007 hazmat permit application filed</t>
        </is>
      </c>
      <c r="D20" s="6" t="inlineStr">
        <is>
          <t>EQ-007</t>
        </is>
      </c>
      <c r="E20" s="6" t="inlineStr">
        <is>
          <t>2025-03-24</t>
        </is>
      </c>
      <c r="F20" s="6" t="inlineStr">
        <is>
          <t>2025-03-22</t>
        </is>
      </c>
      <c r="G20" s="6" t="inlineStr">
        <is>
          <t>2025-03-22</t>
        </is>
      </c>
      <c r="H20" s="6" t="inlineStr">
        <is>
          <t>D. Walsh</t>
        </is>
      </c>
      <c r="I20" s="40" t="inlineStr">
        <is>
          <t>COMPLETE</t>
        </is>
      </c>
      <c r="J20" s="47" t="n">
        <v>1</v>
      </c>
      <c r="K20" s="6" t="inlineStr">
        <is>
          <t>M-003</t>
        </is>
      </c>
      <c r="L20" s="8" t="inlineStr">
        <is>
          <t>Filed 2 days early. Consultant engaged. Permit approval pending.</t>
        </is>
      </c>
    </row>
    <row r="21">
      <c r="A21" s="6" t="inlineStr">
        <is>
          <t>M-006</t>
        </is>
      </c>
      <c r="B21" s="6" t="inlineStr">
        <is>
          <t>G1</t>
        </is>
      </c>
      <c r="C21" s="6" t="inlineStr">
        <is>
          <t>All remaining equipment POs placed</t>
        </is>
      </c>
      <c r="D21" s="6" t="inlineStr">
        <is>
          <t>Multiple</t>
        </is>
      </c>
      <c r="E21" s="6" t="inlineStr">
        <is>
          <t>2025-04-21</t>
        </is>
      </c>
      <c r="F21" s="6" t="inlineStr">
        <is>
          <t>2025-04-18</t>
        </is>
      </c>
      <c r="G21" s="6" t="inlineStr">
        <is>
          <t>2025-04-18</t>
        </is>
      </c>
      <c r="H21" s="6" t="inlineStr">
        <is>
          <t>S. Kim</t>
        </is>
      </c>
      <c r="I21" s="40" t="inlineStr">
        <is>
          <t>COMPLETE</t>
        </is>
      </c>
      <c r="J21" s="47" t="n">
        <v>1</v>
      </c>
      <c r="K21" s="6" t="inlineStr">
        <is>
          <t>M-003</t>
        </is>
      </c>
      <c r="L21" s="8" t="inlineStr">
        <is>
          <t>11 remaining POs placed. Full portfolio committed.</t>
        </is>
      </c>
    </row>
    <row r="22">
      <c r="A22" s="6" t="inlineStr">
        <is>
          <t>M-007</t>
        </is>
      </c>
      <c r="B22" s="6" t="inlineStr">
        <is>
          <t>G1</t>
        </is>
      </c>
      <c r="C22" s="6" t="inlineStr">
        <is>
          <t>FX hedge contracts executed (EUR + JPY)</t>
        </is>
      </c>
      <c r="D22" s="6" t="inlineStr">
        <is>
          <t>EQ-004/007</t>
        </is>
      </c>
      <c r="E22" s="6" t="inlineStr">
        <is>
          <t>2025-05-08</t>
        </is>
      </c>
      <c r="F22" s="6" t="inlineStr">
        <is>
          <t>2025-05-08</t>
        </is>
      </c>
      <c r="G22" s="6" t="inlineStr">
        <is>
          <t>2025-05-08</t>
        </is>
      </c>
      <c r="H22" s="6" t="inlineStr">
        <is>
          <t>R. Patel</t>
        </is>
      </c>
      <c r="I22" s="40" t="inlineStr">
        <is>
          <t>COMPLETE</t>
        </is>
      </c>
      <c r="J22" s="47" t="n">
        <v>1</v>
      </c>
      <c r="K22" s="6" t="inlineStr">
        <is>
          <t>M-004</t>
        </is>
      </c>
      <c r="L22" s="8" t="inlineStr">
        <is>
          <t>Forward contracts locked. EUR 1.09, JPY 149.0.</t>
        </is>
      </c>
    </row>
    <row r="23">
      <c r="A23" s="6" t="inlineStr">
        <is>
          <t>M-008</t>
        </is>
      </c>
      <c r="B23" s="6" t="inlineStr">
        <is>
          <t>G2</t>
        </is>
      </c>
      <c r="C23" s="6" t="inlineStr">
        <is>
          <t>EQ-003 Thermco FAT complete</t>
        </is>
      </c>
      <c r="D23" s="6" t="inlineStr">
        <is>
          <t>EQ-003</t>
        </is>
      </c>
      <c r="E23" s="6" t="inlineStr">
        <is>
          <t>2025-07-14</t>
        </is>
      </c>
      <c r="F23" s="6" t="inlineStr">
        <is>
          <t>2025-07-14</t>
        </is>
      </c>
      <c r="G23" s="6" t="inlineStr">
        <is>
          <t>—</t>
        </is>
      </c>
      <c r="H23" s="6" t="inlineStr">
        <is>
          <t>M. Chen</t>
        </is>
      </c>
      <c r="I23" s="46" t="inlineStr">
        <is>
          <t>IN PROGRESS</t>
        </is>
      </c>
      <c r="J23" s="47" t="n">
        <v>0.4</v>
      </c>
      <c r="K23" s="6" t="inlineStr">
        <is>
          <t>M-006</t>
        </is>
      </c>
      <c r="L23" s="8" t="inlineStr">
        <is>
          <t>Protocol approved. FAT scheduled Week 22. Recipe transfer plan agreed.</t>
        </is>
      </c>
    </row>
    <row r="24">
      <c r="A24" s="6" t="inlineStr">
        <is>
          <t>M-009</t>
        </is>
      </c>
      <c r="B24" s="6" t="inlineStr">
        <is>
          <t>G2</t>
        </is>
      </c>
      <c r="C24" s="6" t="inlineStr">
        <is>
          <t>EQ-001 &amp; EQ-013 pump FATs complete</t>
        </is>
      </c>
      <c r="D24" s="6" t="inlineStr">
        <is>
          <t>EQ-001/013</t>
        </is>
      </c>
      <c r="E24" s="6" t="inlineStr">
        <is>
          <t>2025-07-28</t>
        </is>
      </c>
      <c r="F24" s="6" t="inlineStr">
        <is>
          <t>2025-07-28</t>
        </is>
      </c>
      <c r="G24" s="6" t="inlineStr">
        <is>
          <t>—</t>
        </is>
      </c>
      <c r="H24" s="6" t="inlineStr">
        <is>
          <t>S. Kim</t>
        </is>
      </c>
      <c r="I24" s="76" t="inlineStr">
        <is>
          <t>NOT STARTED</t>
        </is>
      </c>
      <c r="J24" s="47" t="n">
        <v>0</v>
      </c>
      <c r="K24" s="6" t="inlineStr">
        <is>
          <t>M-006</t>
        </is>
      </c>
      <c r="L24" s="8" t="inlineStr">
        <is>
          <t>Coordinated FAT schedule required; confirm with both suppliers</t>
        </is>
      </c>
    </row>
    <row r="25">
      <c r="A25" s="6" t="inlineStr">
        <is>
          <t>M-010</t>
        </is>
      </c>
      <c r="B25" s="6" t="inlineStr">
        <is>
          <t>G2</t>
        </is>
      </c>
      <c r="C25" s="6" t="inlineStr">
        <is>
          <t>EQ-004 TEL batch furnace FAT complete (Japan)</t>
        </is>
      </c>
      <c r="D25" s="6" t="inlineStr">
        <is>
          <t>EQ-004</t>
        </is>
      </c>
      <c r="E25" s="6" t="inlineStr">
        <is>
          <t>2025-08-11</t>
        </is>
      </c>
      <c r="F25" s="6" t="inlineStr">
        <is>
          <t>2025-08-18</t>
        </is>
      </c>
      <c r="G25" s="6" t="inlineStr">
        <is>
          <t>—</t>
        </is>
      </c>
      <c r="H25" s="6" t="inlineStr">
        <is>
          <t>M. Chen</t>
        </is>
      </c>
      <c r="I25" s="73" t="inlineStr">
        <is>
          <t>AT RISK</t>
        </is>
      </c>
      <c r="J25" s="47" t="n">
        <v>0.15</v>
      </c>
      <c r="K25" s="6" t="inlineStr">
        <is>
          <t>M-006</t>
        </is>
      </c>
      <c r="L25" s="8" t="inlineStr">
        <is>
          <t>Extended lead time (28 wks) puts FAT at Week 29 — 1 week behind plan</t>
        </is>
      </c>
    </row>
    <row r="26">
      <c r="A26" s="6" t="inlineStr">
        <is>
          <t>M-011</t>
        </is>
      </c>
      <c r="B26" s="6" t="inlineStr">
        <is>
          <t>G2</t>
        </is>
      </c>
      <c r="C26" s="6" t="inlineStr">
        <is>
          <t>EQ-014 AMAT RTP FAT complete</t>
        </is>
      </c>
      <c r="D26" s="6" t="inlineStr">
        <is>
          <t>EQ-014</t>
        </is>
      </c>
      <c r="E26" s="6" t="inlineStr">
        <is>
          <t>2025-08-04</t>
        </is>
      </c>
      <c r="F26" s="6" t="inlineStr">
        <is>
          <t>2025-08-04</t>
        </is>
      </c>
      <c r="G26" s="6" t="inlineStr">
        <is>
          <t>—</t>
        </is>
      </c>
      <c r="H26" s="6" t="inlineStr">
        <is>
          <t>M. Chen</t>
        </is>
      </c>
      <c r="I26" s="46" t="inlineStr">
        <is>
          <t>IN PROGRESS</t>
        </is>
      </c>
      <c r="J26" s="47" t="n">
        <v>0.25</v>
      </c>
      <c r="K26" s="6" t="inlineStr">
        <is>
          <t>M-004</t>
        </is>
      </c>
      <c r="L26" s="8" t="inlineStr">
        <is>
          <t>AMAT FAT protocol approved. Edge ring lot included. Site visit booked.</t>
        </is>
      </c>
    </row>
    <row r="27">
      <c r="A27" s="6" t="inlineStr">
        <is>
          <t>M-012</t>
        </is>
      </c>
      <c r="B27" s="6" t="inlineStr">
        <is>
          <t>G2</t>
        </is>
      </c>
      <c r="C27" s="6" t="inlineStr">
        <is>
          <t>EQ-002 Pfeiffer TMP FAT complete</t>
        </is>
      </c>
      <c r="D27" s="6" t="inlineStr">
        <is>
          <t>EQ-002</t>
        </is>
      </c>
      <c r="E27" s="6" t="inlineStr">
        <is>
          <t>2025-08-18</t>
        </is>
      </c>
      <c r="F27" s="6" t="inlineStr">
        <is>
          <t>2025-09-01</t>
        </is>
      </c>
      <c r="G27" s="6" t="inlineStr">
        <is>
          <t>—</t>
        </is>
      </c>
      <c r="H27" s="6" t="inlineStr">
        <is>
          <t>S. Kim</t>
        </is>
      </c>
      <c r="I27" s="73" t="inlineStr">
        <is>
          <t>AT RISK</t>
        </is>
      </c>
      <c r="J27" s="47" t="n">
        <v>0.05</v>
      </c>
      <c r="K27" s="6" t="inlineStr">
        <is>
          <t>M-004</t>
        </is>
      </c>
      <c r="L27" s="8" t="inlineStr">
        <is>
          <t>CRITICAL: 26-wk LT pushes FAT to Week 30. Single-source risk active.</t>
        </is>
      </c>
    </row>
    <row r="28">
      <c r="A28" s="6" t="inlineStr">
        <is>
          <t>M-013</t>
        </is>
      </c>
      <c r="B28" s="6" t="inlineStr">
        <is>
          <t>G2</t>
        </is>
      </c>
      <c r="C28" s="6" t="inlineStr">
        <is>
          <t>EQ-007 hazmat permit received</t>
        </is>
      </c>
      <c r="D28" s="6" t="inlineStr">
        <is>
          <t>EQ-007</t>
        </is>
      </c>
      <c r="E28" s="6" t="inlineStr">
        <is>
          <t>2025-05-30</t>
        </is>
      </c>
      <c r="F28" s="6" t="inlineStr">
        <is>
          <t>2025-05-30</t>
        </is>
      </c>
      <c r="G28" s="6" t="inlineStr">
        <is>
          <t>—</t>
        </is>
      </c>
      <c r="H28" s="6" t="inlineStr">
        <is>
          <t>D. Walsh</t>
        </is>
      </c>
      <c r="I28" s="46" t="inlineStr">
        <is>
          <t>IN PROGRESS</t>
        </is>
      </c>
      <c r="J28" s="47" t="n">
        <v>0.5</v>
      </c>
      <c r="K28" s="6" t="inlineStr">
        <is>
          <t>M-005</t>
        </is>
      </c>
      <c r="L28" s="8" t="inlineStr">
        <is>
          <t>Consultant tracking. Risk of 2-week overrun if permit delayed.</t>
        </is>
      </c>
    </row>
    <row r="29">
      <c r="A29" s="6" t="inlineStr">
        <is>
          <t>M-014</t>
        </is>
      </c>
      <c r="B29" s="6" t="inlineStr">
        <is>
          <t>G2</t>
        </is>
      </c>
      <c r="C29" s="6" t="inlineStr">
        <is>
          <t>EQ-006 conveyor civil drawings frozen</t>
        </is>
      </c>
      <c r="D29" s="6" t="inlineStr">
        <is>
          <t>EQ-006</t>
        </is>
      </c>
      <c r="E29" s="6" t="inlineStr">
        <is>
          <t>2025-05-19</t>
        </is>
      </c>
      <c r="F29" s="6" t="inlineStr">
        <is>
          <t>2025-05-19</t>
        </is>
      </c>
      <c r="G29" s="6" t="inlineStr">
        <is>
          <t>—</t>
        </is>
      </c>
      <c r="H29" s="6" t="inlineStr">
        <is>
          <t>T. Okonkwo</t>
        </is>
      </c>
      <c r="I29" s="46" t="inlineStr">
        <is>
          <t>IN PROGRESS</t>
        </is>
      </c>
      <c r="J29" s="47" t="n">
        <v>0.8</v>
      </c>
      <c r="K29" s="6" t="inlineStr">
        <is>
          <t>M-006</t>
        </is>
      </c>
      <c r="L29" s="8" t="inlineStr">
        <is>
          <t>Layout review in progress. Freeze confirmed by Week 6.</t>
        </is>
      </c>
    </row>
    <row r="30">
      <c r="A30" s="6" t="inlineStr">
        <is>
          <t>M-015</t>
        </is>
      </c>
      <c r="B30" s="6" t="inlineStr">
        <is>
          <t>G3</t>
        </is>
      </c>
      <c r="C30" s="6" t="inlineStr">
        <is>
          <t>All equipment delivered to site</t>
        </is>
      </c>
      <c r="D30" s="6" t="inlineStr">
        <is>
          <t>ALL</t>
        </is>
      </c>
      <c r="E30" s="6" t="inlineStr">
        <is>
          <t>2025-09-08</t>
        </is>
      </c>
      <c r="F30" s="6" t="inlineStr">
        <is>
          <t>2025-09-08</t>
        </is>
      </c>
      <c r="G30" s="6" t="inlineStr">
        <is>
          <t>—</t>
        </is>
      </c>
      <c r="H30" s="6" t="inlineStr">
        <is>
          <t>S. Kim</t>
        </is>
      </c>
      <c r="I30" s="76" t="inlineStr">
        <is>
          <t>NOT STARTED</t>
        </is>
      </c>
      <c r="J30" s="47" t="n">
        <v>0</v>
      </c>
      <c r="K30" s="6" t="inlineStr">
        <is>
          <t>M-012</t>
        </is>
      </c>
      <c r="L30" s="8" t="inlineStr">
        <is>
          <t>Delivery schedule contingent on EQ-002 and EQ-004 manufacturing completion</t>
        </is>
      </c>
    </row>
    <row r="31">
      <c r="A31" s="6" t="inlineStr">
        <is>
          <t>M-016</t>
        </is>
      </c>
      <c r="B31" s="6" t="inlineStr">
        <is>
          <t>G3</t>
        </is>
      </c>
      <c r="C31" s="6" t="inlineStr">
        <is>
          <t>Site electrical sub-panel installation</t>
        </is>
      </c>
      <c r="D31" s="6" t="inlineStr">
        <is>
          <t>EQ-001</t>
        </is>
      </c>
      <c r="E31" s="6" t="inlineStr">
        <is>
          <t>2025-08-18</t>
        </is>
      </c>
      <c r="F31" s="6" t="inlineStr">
        <is>
          <t>2025-08-18</t>
        </is>
      </c>
      <c r="G31" s="6" t="inlineStr">
        <is>
          <t>—</t>
        </is>
      </c>
      <c r="H31" s="6" t="inlineStr">
        <is>
          <t>T. Okonkwo</t>
        </is>
      </c>
      <c r="I31" s="46" t="inlineStr">
        <is>
          <t>IN PROGRESS</t>
        </is>
      </c>
      <c r="J31" s="47" t="n">
        <v>0.35</v>
      </c>
      <c r="K31" s="6" t="inlineStr">
        <is>
          <t>M-006</t>
        </is>
      </c>
      <c r="L31" s="8" t="inlineStr">
        <is>
          <t>Contractor engaged. Sub-panel installation Weeks 28-29.</t>
        </is>
      </c>
    </row>
    <row r="32">
      <c r="A32" s="6" t="inlineStr">
        <is>
          <t>M-017</t>
        </is>
      </c>
      <c r="B32" s="6" t="inlineStr">
        <is>
          <t>G3</t>
        </is>
      </c>
      <c r="C32" s="6" t="inlineStr">
        <is>
          <t>EQ-004 structural floor reinforcement complete</t>
        </is>
      </c>
      <c r="D32" s="6" t="inlineStr">
        <is>
          <t>EQ-004</t>
        </is>
      </c>
      <c r="E32" s="6" t="inlineStr">
        <is>
          <t>2025-07-28</t>
        </is>
      </c>
      <c r="F32" s="6" t="inlineStr">
        <is>
          <t>2025-07-28</t>
        </is>
      </c>
      <c r="G32" s="6" t="inlineStr">
        <is>
          <t>—</t>
        </is>
      </c>
      <c r="H32" s="6" t="inlineStr">
        <is>
          <t>T. Okonkwo</t>
        </is>
      </c>
      <c r="I32" s="46" t="inlineStr">
        <is>
          <t>IN PROGRESS</t>
        </is>
      </c>
      <c r="J32" s="47" t="n">
        <v>0.7</v>
      </c>
      <c r="K32" s="6" t="inlineStr">
        <is>
          <t>M-006</t>
        </is>
      </c>
      <c r="L32" s="8" t="inlineStr">
        <is>
          <t>Structural work underway. External crane booked.</t>
        </is>
      </c>
    </row>
    <row r="33">
      <c r="A33" s="6" t="inlineStr">
        <is>
          <t>M-018</t>
        </is>
      </c>
      <c r="B33" s="6" t="inlineStr">
        <is>
          <t>G3</t>
        </is>
      </c>
      <c r="C33" s="6" t="inlineStr">
        <is>
          <t>All equipment installation and utility hookup complete</t>
        </is>
      </c>
      <c r="D33" s="6" t="inlineStr">
        <is>
          <t>ALL</t>
        </is>
      </c>
      <c r="E33" s="6" t="inlineStr">
        <is>
          <t>2025-10-13</t>
        </is>
      </c>
      <c r="F33" s="6" t="inlineStr">
        <is>
          <t>2025-10-13</t>
        </is>
      </c>
      <c r="G33" s="6" t="inlineStr">
        <is>
          <t>—</t>
        </is>
      </c>
      <c r="H33" s="6" t="inlineStr">
        <is>
          <t>T. Okonkwo</t>
        </is>
      </c>
      <c r="I33" s="76" t="inlineStr">
        <is>
          <t>NOT STARTED</t>
        </is>
      </c>
      <c r="J33" s="47" t="n">
        <v>0</v>
      </c>
      <c r="K33" s="6" t="inlineStr">
        <is>
          <t>M-015</t>
        </is>
      </c>
      <c r="L33" s="8" t="inlineStr">
        <is>
          <t>4 wks install + 2 wks utility hookup per platform; parallel paths planned</t>
        </is>
      </c>
    </row>
    <row r="34">
      <c r="A34" s="6" t="inlineStr">
        <is>
          <t>M-019</t>
        </is>
      </c>
      <c r="B34" s="6" t="inlineStr">
        <is>
          <t>G4</t>
        </is>
      </c>
      <c r="C34" s="6" t="inlineStr">
        <is>
          <t>Process qualification (PQ) initiated — first tool</t>
        </is>
      </c>
      <c r="D34" s="6" t="inlineStr">
        <is>
          <t>EQ-014</t>
        </is>
      </c>
      <c r="E34" s="6" t="inlineStr">
        <is>
          <t>2025-10-27</t>
        </is>
      </c>
      <c r="F34" s="6" t="inlineStr">
        <is>
          <t>2025-10-27</t>
        </is>
      </c>
      <c r="G34" s="6" t="inlineStr">
        <is>
          <t>—</t>
        </is>
      </c>
      <c r="H34" s="6" t="inlineStr">
        <is>
          <t>M. Chen</t>
        </is>
      </c>
      <c r="I34" s="76" t="inlineStr">
        <is>
          <t>NOT STARTED</t>
        </is>
      </c>
      <c r="J34" s="47" t="n">
        <v>0</v>
      </c>
      <c r="K34" s="6" t="inlineStr">
        <is>
          <t>M-018</t>
        </is>
      </c>
      <c r="L34" s="8" t="inlineStr">
        <is>
          <t>EQ-014 RTP first to PQ; edge ring data from FAT will accelerate PQ</t>
        </is>
      </c>
    </row>
    <row r="35">
      <c r="A35" s="6" t="inlineStr">
        <is>
          <t>M-020</t>
        </is>
      </c>
      <c r="B35" s="6" t="inlineStr">
        <is>
          <t>G4</t>
        </is>
      </c>
      <c r="C35" s="6" t="inlineStr">
        <is>
          <t>Process qualification (PQ) complete — all tools</t>
        </is>
      </c>
      <c r="D35" s="6" t="inlineStr">
        <is>
          <t>ALL</t>
        </is>
      </c>
      <c r="E35" s="6" t="inlineStr">
        <is>
          <t>2025-11-24</t>
        </is>
      </c>
      <c r="F35" s="6" t="inlineStr">
        <is>
          <t>2025-11-24</t>
        </is>
      </c>
      <c r="G35" s="6" t="inlineStr">
        <is>
          <t>—</t>
        </is>
      </c>
      <c r="H35" s="6" t="inlineStr">
        <is>
          <t>M. Chen</t>
        </is>
      </c>
      <c r="I35" s="76" t="inlineStr">
        <is>
          <t>NOT STARTED</t>
        </is>
      </c>
      <c r="J35" s="47" t="n">
        <v>0</v>
      </c>
      <c r="K35" s="6" t="inlineStr">
        <is>
          <t>M-019</t>
        </is>
      </c>
      <c r="L35" s="8" t="inlineStr">
        <is>
          <t>5-week PQ phase; yield &gt;94% and uptime &gt;90% required</t>
        </is>
      </c>
    </row>
    <row r="36">
      <c r="A36" s="6" t="inlineStr">
        <is>
          <t>M-021</t>
        </is>
      </c>
      <c r="B36" s="6" t="inlineStr">
        <is>
          <t>G5</t>
        </is>
      </c>
      <c r="C36" s="6" t="inlineStr">
        <is>
          <t>Manufacturing handover and production release</t>
        </is>
      </c>
      <c r="D36" s="6" t="inlineStr">
        <is>
          <t>ALL</t>
        </is>
      </c>
      <c r="E36" s="6" t="inlineStr">
        <is>
          <t>2025-12-08</t>
        </is>
      </c>
      <c r="F36" s="6" t="inlineStr">
        <is>
          <t>2025-12-08</t>
        </is>
      </c>
      <c r="G36" s="6" t="inlineStr">
        <is>
          <t>—</t>
        </is>
      </c>
      <c r="H36" s="6" t="inlineStr">
        <is>
          <t>A. Novak</t>
        </is>
      </c>
      <c r="I36" s="76" t="inlineStr">
        <is>
          <t>NOT STARTED</t>
        </is>
      </c>
      <c r="J36" s="47" t="n">
        <v>0</v>
      </c>
      <c r="K36" s="6" t="inlineStr">
        <is>
          <t>M-020</t>
        </is>
      </c>
      <c r="L36" s="8" t="inlineStr">
        <is>
          <t>SOP training, spare parts stocked, maintenance schedule published</t>
        </is>
      </c>
    </row>
    <row r="39" ht="18" customHeight="1">
      <c r="A39" s="105" t="inlineStr">
        <is>
          <t>PROGRAM PROGRESS SUMMARY</t>
        </is>
      </c>
    </row>
    <row r="40">
      <c r="A40" s="6" t="inlineStr">
        <is>
          <t>Total Milestones</t>
        </is>
      </c>
      <c r="B40" s="49">
        <f>COUNTA(A16:A36)</f>
        <v/>
      </c>
    </row>
    <row r="41">
      <c r="A41" s="6" t="inlineStr">
        <is>
          <t>Milestones Complete</t>
        </is>
      </c>
      <c r="B41" s="49">
        <f>COUNTIF(I16:I36,"COMPLETE")</f>
        <v/>
      </c>
    </row>
    <row r="42">
      <c r="A42" s="6" t="inlineStr">
        <is>
          <t>Milestones In Progress</t>
        </is>
      </c>
      <c r="B42" s="49">
        <f>COUNTIF(I16:I36,"IN PROGRESS")</f>
        <v/>
      </c>
    </row>
    <row r="43">
      <c r="A43" s="6" t="inlineStr">
        <is>
          <t>Milestones At Risk or Blocked</t>
        </is>
      </c>
      <c r="B43" s="49">
        <f>COUNTIF(I16:I36,"AT RISK")</f>
        <v/>
      </c>
    </row>
    <row r="44">
      <c r="A44" s="6" t="inlineStr">
        <is>
          <t>Overall Program %</t>
        </is>
      </c>
      <c r="B44" s="101">
        <f>AVERAGE(J16:J36)</f>
        <v/>
      </c>
    </row>
    <row r="45">
      <c r="A45" s="6" t="inlineStr">
        <is>
          <t>Gates Complete / Approved</t>
        </is>
      </c>
      <c r="B45" s="49">
        <f>COUNTIF(E6:E11,"APPROVED")</f>
        <v/>
      </c>
    </row>
    <row r="46">
      <c r="A46" s="6" t="inlineStr">
        <is>
          <t>Open Blockers Across All Gates</t>
        </is>
      </c>
      <c r="B46" s="49">
        <f>SUM(I6:I11)</f>
        <v/>
      </c>
    </row>
  </sheetData>
  <mergeCells count="5">
    <mergeCell ref="A4:K4"/>
    <mergeCell ref="A2:K2"/>
    <mergeCell ref="A14:L14"/>
    <mergeCell ref="A1:K1"/>
    <mergeCell ref="A39:B39"/>
  </mergeCells>
  <pageMargins left="0.75" right="0.75" top="1" bottom="1" header="0.5" footer="0.5"/>
</worksheet>
</file>

<file path=xl/worksheets/sheet30.xml><?xml version="1.0" encoding="utf-8"?>
<worksheet xmlns="http://schemas.openxmlformats.org/spreadsheetml/2006/main">
  <sheetPr>
    <tabColor rgb="00C0392B"/>
    <outlinePr summaryBelow="1" summaryRight="1"/>
    <pageSetUpPr/>
  </sheetPr>
  <dimension ref="A1:P22"/>
  <sheetViews>
    <sheetView workbookViewId="0">
      <pane ySplit="5" topLeftCell="A6" activePane="bottomLeft" state="frozen"/>
      <selection pane="bottomLeft" activeCell="A1" sqref="A1"/>
    </sheetView>
  </sheetViews>
  <sheetFormatPr baseColWidth="8" defaultRowHeight="15"/>
  <cols>
    <col width="9" customWidth="1" min="1" max="1"/>
    <col width="30" customWidth="1" min="2" max="2"/>
    <col width="22" customWidth="1" min="3" max="3"/>
    <col width="16" customWidth="1" min="4" max="4"/>
    <col width="15" customWidth="1" min="5" max="5"/>
    <col width="42" customWidth="1" min="6" max="6"/>
    <col width="34" customWidth="1" min="7" max="7"/>
    <col width="12" customWidth="1" min="8" max="8"/>
    <col width="12" customWidth="1" min="9" max="9"/>
    <col width="34" customWidth="1" min="10" max="10"/>
    <col width="26" customWidth="1" min="11" max="11"/>
    <col width="13" customWidth="1" min="12" max="12"/>
    <col width="15" customWidth="1" min="13" max="13"/>
    <col width="12" customWidth="1" min="14" max="14"/>
    <col width="18" customWidth="1" min="15" max="15"/>
    <col width="10" customWidth="1" min="16" max="16"/>
  </cols>
  <sheetData>
    <row r="1" ht="26" customHeight="1">
      <c r="A1" s="104" t="inlineStr">
        <is>
          <t>S26 — Engineering Change Orders (ECO) Register — Phase II Program</t>
        </is>
      </c>
    </row>
    <row r="2" ht="15" customHeight="1">
      <c r="A2" s="2" t="inlineStr">
        <is>
          <t>Formal ECO register for all design changes — internal, customer-driven &amp; regulatory | Owner: Sourabh Tarodekar | Related VDCs tracked in S27_Vendor_Design_Changes</t>
        </is>
      </c>
    </row>
    <row r="4" ht="30" customHeight="1">
      <c r="A4" s="106" t="inlineStr">
        <is>
          <t>ECO ID</t>
        </is>
      </c>
      <c r="B4" s="106" t="inlineStr">
        <is>
          <t>ECO Title</t>
        </is>
      </c>
      <c r="C4" s="106" t="inlineStr">
        <is>
          <t>Originator</t>
        </is>
      </c>
      <c r="D4" s="106" t="inlineStr">
        <is>
          <t>Origin Type</t>
        </is>
      </c>
      <c r="E4" s="106" t="inlineStr">
        <is>
          <t>Affected Equip</t>
        </is>
      </c>
      <c r="F4" s="106" t="inlineStr">
        <is>
          <t>Change Description</t>
        </is>
      </c>
      <c r="G4" s="106" t="inlineStr">
        <is>
          <t>Reason</t>
        </is>
      </c>
      <c r="H4" s="106" t="inlineStr">
        <is>
          <t>Cost Impact (USD)</t>
        </is>
      </c>
      <c r="I4" s="106" t="inlineStr">
        <is>
          <t>Schedule Impact (wks)</t>
        </is>
      </c>
      <c r="J4" s="106" t="inlineStr">
        <is>
          <t>Quality/Yield Impact</t>
        </is>
      </c>
      <c r="K4" s="106" t="inlineStr">
        <is>
          <t>Requalif. Required?</t>
        </is>
      </c>
      <c r="L4" s="106" t="inlineStr">
        <is>
          <t>ECO Status</t>
        </is>
      </c>
      <c r="M4" s="106" t="inlineStr">
        <is>
          <t>Design Auth. Approval Date</t>
        </is>
      </c>
      <c r="N4" s="106" t="inlineStr">
        <is>
          <t>Submitted Date</t>
        </is>
      </c>
      <c r="O4" s="106" t="inlineStr">
        <is>
          <t>Impl. Date</t>
        </is>
      </c>
      <c r="P4" s="106" t="inlineStr">
        <is>
          <t>Linked VDC</t>
        </is>
      </c>
    </row>
    <row r="5">
      <c r="A5" s="6" t="inlineStr">
        <is>
          <t>ECO-001</t>
        </is>
      </c>
      <c r="B5" s="6" t="inlineStr">
        <is>
          <t>Gas Cabinet Safety Interlock Upgrade</t>
        </is>
      </c>
      <c r="C5" s="6" t="inlineStr">
        <is>
          <t>Facilities / Safety</t>
        </is>
      </c>
      <c r="D5" s="6" t="inlineStr">
        <is>
          <t>Regulatory</t>
        </is>
      </c>
      <c r="E5" s="6" t="inlineStr">
        <is>
          <t>EQ-007</t>
        </is>
      </c>
      <c r="F5" s="8" t="inlineStr">
        <is>
          <t>Add secondary pressure interlock and emergency shutoff valve per updated NFPA 72 guidance</t>
        </is>
      </c>
      <c r="G5" s="8" t="inlineStr">
        <is>
          <t>Regulatory compliance — permit condition</t>
        </is>
      </c>
      <c r="H5" s="48" t="n">
        <v>28500</v>
      </c>
      <c r="I5" s="43" t="n">
        <v>2</v>
      </c>
      <c r="J5" s="8" t="inlineStr">
        <is>
          <t>No yield impact; safety-critical improvement</t>
        </is>
      </c>
      <c r="K5" s="6" t="inlineStr">
        <is>
          <t>YES — re-FAT on gas cabinet</t>
        </is>
      </c>
      <c r="L5" s="40" t="inlineStr">
        <is>
          <t>IMPLEMENTED</t>
        </is>
      </c>
      <c r="M5" s="6" t="inlineStr">
        <is>
          <t>2025-03-10</t>
        </is>
      </c>
      <c r="N5" s="6" t="inlineStr">
        <is>
          <t>2025-03-24</t>
        </is>
      </c>
      <c r="O5" s="6" t="inlineStr">
        <is>
          <t>2025-05-15</t>
        </is>
      </c>
      <c r="P5" s="6" t="inlineStr">
        <is>
          <t>—</t>
        </is>
      </c>
    </row>
    <row r="6">
      <c r="A6" s="6" t="inlineStr">
        <is>
          <t>ECO-002</t>
        </is>
      </c>
      <c r="B6" s="6" t="inlineStr">
        <is>
          <t>TEL Furnace Recipe Parameter Change</t>
        </is>
      </c>
      <c r="C6" s="6" t="inlineStr">
        <is>
          <t>Process Engineering</t>
        </is>
      </c>
      <c r="D6" s="6" t="inlineStr">
        <is>
          <t>Customer-Driven</t>
        </is>
      </c>
      <c r="E6" s="6" t="inlineStr">
        <is>
          <t>EQ-004</t>
        </is>
      </c>
      <c r="F6" s="8" t="inlineStr">
        <is>
          <t>Update oxidation time profile on Recipe Set B3 to achieve customer-specified film uniformity +/-1.5%</t>
        </is>
      </c>
      <c r="G6" s="8" t="inlineStr">
        <is>
          <t>Customer quality requirement tightened for Phase III product</t>
        </is>
      </c>
      <c r="H6" s="48" t="n">
        <v>12000</v>
      </c>
      <c r="I6" s="43" t="n">
        <v>1</v>
      </c>
      <c r="J6" s="8" t="inlineStr">
        <is>
          <t>Yield improvement expected +0.5% on PF-A</t>
        </is>
      </c>
      <c r="K6" s="6" t="inlineStr">
        <is>
          <t>YES — PQ re-run for Recipe B3</t>
        </is>
      </c>
      <c r="L6" s="40" t="inlineStr">
        <is>
          <t>IMPLEMENTED</t>
        </is>
      </c>
      <c r="M6" s="6" t="inlineStr">
        <is>
          <t>2025-04-02</t>
        </is>
      </c>
      <c r="N6" s="6" t="inlineStr">
        <is>
          <t>2025-04-08</t>
        </is>
      </c>
      <c r="O6" s="6" t="inlineStr">
        <is>
          <t>2025-07-20</t>
        </is>
      </c>
      <c r="P6" s="6" t="inlineStr">
        <is>
          <t>VDC-003</t>
        </is>
      </c>
    </row>
    <row r="7">
      <c r="A7" s="6" t="inlineStr">
        <is>
          <t>ECO-003</t>
        </is>
      </c>
      <c r="B7" s="6" t="inlineStr">
        <is>
          <t>RTP Edge Ring Material Substitution</t>
        </is>
      </c>
      <c r="C7" s="6" t="inlineStr">
        <is>
          <t>Process Engineering / AMAT</t>
        </is>
      </c>
      <c r="D7" s="6" t="inlineStr">
        <is>
          <t>Internal Engineering</t>
        </is>
      </c>
      <c r="E7" s="6" t="inlineStr">
        <is>
          <t>EQ-014</t>
        </is>
      </c>
      <c r="F7" s="8" t="inlineStr">
        <is>
          <t>Replace SiC edge ring with high-purity CVD SiC — improved thermal uniformity at &gt;900C</t>
        </is>
      </c>
      <c r="G7" s="8" t="inlineStr">
        <is>
          <t>Process optimization — reduce edge exclusion zone</t>
        </is>
      </c>
      <c r="H7" s="48" t="n">
        <v>15000</v>
      </c>
      <c r="I7" s="43" t="n">
        <v>0</v>
      </c>
      <c r="J7" s="8" t="inlineStr">
        <is>
          <t>Yield improvement +0.8% at wafer edge</t>
        </is>
      </c>
      <c r="K7" s="6" t="inlineStr">
        <is>
          <t>YES — thermal profile re-validation</t>
        </is>
      </c>
      <c r="L7" s="40" t="inlineStr">
        <is>
          <t>IMPLEMENTED</t>
        </is>
      </c>
      <c r="M7" s="6" t="inlineStr">
        <is>
          <t>2025-02-15</t>
        </is>
      </c>
      <c r="N7" s="6" t="inlineStr">
        <is>
          <t>2025-02-28</t>
        </is>
      </c>
      <c r="O7" s="6" t="inlineStr">
        <is>
          <t>2025-06-10</t>
        </is>
      </c>
      <c r="P7" s="6" t="inlineStr">
        <is>
          <t>VDC-001</t>
        </is>
      </c>
    </row>
    <row r="8">
      <c r="A8" s="6" t="inlineStr">
        <is>
          <t>ECO-004</t>
        </is>
      </c>
      <c r="B8" s="6" t="inlineStr">
        <is>
          <t>MES Integration Protocol Revision</t>
        </is>
      </c>
      <c r="C8" s="6" t="inlineStr">
        <is>
          <t>Controls / IT-OT</t>
        </is>
      </c>
      <c r="D8" s="6" t="inlineStr">
        <is>
          <t>Internal Engineering</t>
        </is>
      </c>
      <c r="E8" s="6" t="inlineStr">
        <is>
          <t>EQ-005/009/010</t>
        </is>
      </c>
      <c r="F8" s="8" t="inlineStr">
        <is>
          <t>Update SCADA-to-MES data handshake to use REST API v2.1 (replace deprecated SOAP endpoints)</t>
        </is>
      </c>
      <c r="G8" s="8" t="inlineStr">
        <is>
          <t>IT/OT architecture upgrade — eliminates latency bug</t>
        </is>
      </c>
      <c r="H8" s="48" t="n">
        <v>8000</v>
      </c>
      <c r="I8" s="43" t="n">
        <v>1</v>
      </c>
      <c r="J8" s="8" t="inlineStr">
        <is>
          <t>No yield impact; +15ms improvement in alarm response</t>
        </is>
      </c>
      <c r="K8" s="6" t="inlineStr">
        <is>
          <t>NO — software change only</t>
        </is>
      </c>
      <c r="L8" s="40" t="inlineStr">
        <is>
          <t>IMPLEMENTED</t>
        </is>
      </c>
      <c r="M8" s="6" t="inlineStr">
        <is>
          <t>2025-05-10</t>
        </is>
      </c>
      <c r="N8" s="6" t="inlineStr">
        <is>
          <t>2025-05-17</t>
        </is>
      </c>
      <c r="O8" s="6" t="inlineStr">
        <is>
          <t>2025-07-01</t>
        </is>
      </c>
      <c r="P8" s="6" t="inlineStr">
        <is>
          <t>—</t>
        </is>
      </c>
    </row>
    <row r="9">
      <c r="A9" s="6" t="inlineStr">
        <is>
          <t>ECO-005</t>
        </is>
      </c>
      <c r="B9" s="6" t="inlineStr">
        <is>
          <t>Chiller Glycol Concentration Adjustment</t>
        </is>
      </c>
      <c r="C9" s="6" t="inlineStr">
        <is>
          <t>Facilities Engineering</t>
        </is>
      </c>
      <c r="D9" s="6" t="inlineStr">
        <is>
          <t>Internal Engineering</t>
        </is>
      </c>
      <c r="E9" s="6" t="inlineStr">
        <is>
          <t>EQ-012</t>
        </is>
      </c>
      <c r="F9" s="8" t="inlineStr">
        <is>
          <t>Increase inhibited glycol concentration from 30% to 35% to reduce corrosion in stainless loop</t>
        </is>
      </c>
      <c r="G9" s="8" t="inlineStr">
        <is>
          <t>Preventive — loop inspection found minor oxidation at fittings</t>
        </is>
      </c>
      <c r="H9" s="48" t="n">
        <v>3500</v>
      </c>
      <c r="I9" s="43" t="n">
        <v>0</v>
      </c>
      <c r="J9" s="8" t="inlineStr">
        <is>
          <t>No yield impact; improved system longevity</t>
        </is>
      </c>
      <c r="K9" s="6" t="inlineStr">
        <is>
          <t>NO</t>
        </is>
      </c>
      <c r="L9" s="40" t="inlineStr">
        <is>
          <t>IMPLEMENTED</t>
        </is>
      </c>
      <c r="M9" s="6" t="inlineStr">
        <is>
          <t>2025-06-01</t>
        </is>
      </c>
      <c r="N9" s="6" t="inlineStr">
        <is>
          <t>2025-06-05</t>
        </is>
      </c>
      <c r="O9" s="6" t="inlineStr">
        <is>
          <t>2025-06-15</t>
        </is>
      </c>
      <c r="P9" s="6" t="inlineStr">
        <is>
          <t>—</t>
        </is>
      </c>
    </row>
    <row r="10">
      <c r="A10" s="6" t="inlineStr">
        <is>
          <t>ECO-006</t>
        </is>
      </c>
      <c r="B10" s="6" t="inlineStr">
        <is>
          <t>Dry Screw Pump N2 Purge Line Upgrade</t>
        </is>
      </c>
      <c r="C10" s="6" t="inlineStr">
        <is>
          <t>Engineering / Edwards</t>
        </is>
      </c>
      <c r="D10" s="6" t="inlineStr">
        <is>
          <t>Internal Engineering</t>
        </is>
      </c>
      <c r="E10" s="6" t="inlineStr">
        <is>
          <t>EQ-001/013</t>
        </is>
      </c>
      <c r="F10" s="8" t="inlineStr">
        <is>
          <t>Increase N2 purge flow from 8 L/min to 12 L/min to reduce pump seal degradation rate</t>
        </is>
      </c>
      <c r="G10" s="8" t="inlineStr">
        <is>
          <t>Reliability improvement — seal MTBF extended by ~20%</t>
        </is>
      </c>
      <c r="H10" s="48" t="n">
        <v>18000</v>
      </c>
      <c r="I10" s="43" t="n">
        <v>1</v>
      </c>
      <c r="J10" s="8" t="inlineStr">
        <is>
          <t>No yield impact; MTBF improvement 8,760 -&gt; 10,500 hrs</t>
        </is>
      </c>
      <c r="K10" s="6" t="inlineStr">
        <is>
          <t>NO — purge line change only</t>
        </is>
      </c>
      <c r="L10" s="46" t="inlineStr">
        <is>
          <t>IN REVIEW</t>
        </is>
      </c>
      <c r="M10" s="6" t="inlineStr">
        <is>
          <t>2025-07-12</t>
        </is>
      </c>
      <c r="N10" s="6" t="inlineStr">
        <is>
          <t>Pending</t>
        </is>
      </c>
      <c r="O10" s="6" t="inlineStr">
        <is>
          <t>TBC</t>
        </is>
      </c>
      <c r="P10" s="6" t="inlineStr">
        <is>
          <t>—</t>
        </is>
      </c>
    </row>
    <row r="11">
      <c r="A11" s="6" t="inlineStr">
        <is>
          <t>ECO-007</t>
        </is>
      </c>
      <c r="B11" s="6" t="inlineStr">
        <is>
          <t>DCS Cybersecurity Firmware Update</t>
        </is>
      </c>
      <c r="C11" s="6" t="inlineStr">
        <is>
          <t>Controls / InfoSec</t>
        </is>
      </c>
      <c r="D11" s="6" t="inlineStr">
        <is>
          <t>Regulatory</t>
        </is>
      </c>
      <c r="E11" s="6" t="inlineStr">
        <is>
          <t>EQ-009</t>
        </is>
      </c>
      <c r="F11" s="8" t="inlineStr">
        <is>
          <t>Apply Siemens TIA Portal firmware patch v19.0.3 per ICS-CERT advisory ICSA-2025-089</t>
        </is>
      </c>
      <c r="G11" s="8" t="inlineStr">
        <is>
          <t>Security patch — critical vulnerability mitigation</t>
        </is>
      </c>
      <c r="H11" s="48" t="n">
        <v>5000</v>
      </c>
      <c r="I11" s="43" t="n">
        <v>0</v>
      </c>
      <c r="J11" s="8" t="inlineStr">
        <is>
          <t>No yield impact; mandatory security update</t>
        </is>
      </c>
      <c r="K11" s="6" t="inlineStr">
        <is>
          <t>NO — firmware only; controlled change</t>
        </is>
      </c>
      <c r="L11" s="46" t="inlineStr">
        <is>
          <t>IN REVIEW</t>
        </is>
      </c>
      <c r="M11" s="6" t="inlineStr">
        <is>
          <t>2025-07-20</t>
        </is>
      </c>
      <c r="N11" s="6" t="inlineStr">
        <is>
          <t>Pending</t>
        </is>
      </c>
      <c r="O11" s="6" t="inlineStr">
        <is>
          <t>2025-08-15 target</t>
        </is>
      </c>
      <c r="P11" s="6" t="inlineStr">
        <is>
          <t>—</t>
        </is>
      </c>
    </row>
    <row r="12">
      <c r="A12" s="6" t="inlineStr">
        <is>
          <t>ECO-008</t>
        </is>
      </c>
      <c r="B12" s="6" t="inlineStr">
        <is>
          <t>AMR Fleet Route Optimization v2</t>
        </is>
      </c>
      <c r="C12" s="6" t="inlineStr">
        <is>
          <t>Operations / MiR</t>
        </is>
      </c>
      <c r="D12" s="6" t="inlineStr">
        <is>
          <t>Internal Engineering</t>
        </is>
      </c>
      <c r="E12" s="6" t="inlineStr">
        <is>
          <t>EQ-015</t>
        </is>
      </c>
      <c r="F12" s="8" t="inlineStr">
        <is>
          <t>Implement MiR Fleet Manager route algorithm Phase 2 to reduce carrier wait time by ~18%</t>
        </is>
      </c>
      <c r="G12" s="8" t="inlineStr">
        <is>
          <t>Operational efficiency — program improvement</t>
        </is>
      </c>
      <c r="H12" s="48" t="n">
        <v>6000</v>
      </c>
      <c r="I12" s="43" t="n">
        <v>0</v>
      </c>
      <c r="J12" s="8" t="inlineStr">
        <is>
          <t>No yield impact; +18% throughput improvement for AMR</t>
        </is>
      </c>
      <c r="K12" s="6" t="inlineStr">
        <is>
          <t>NO — software update</t>
        </is>
      </c>
      <c r="L12" s="40" t="inlineStr">
        <is>
          <t>IMPLEMENTED</t>
        </is>
      </c>
      <c r="M12" s="6" t="inlineStr">
        <is>
          <t>2025-08-01</t>
        </is>
      </c>
      <c r="N12" s="6" t="inlineStr">
        <is>
          <t>2025-08-05</t>
        </is>
      </c>
      <c r="O12" s="6" t="inlineStr">
        <is>
          <t>2025-09-01</t>
        </is>
      </c>
      <c r="P12" s="6" t="inlineStr">
        <is>
          <t>—</t>
        </is>
      </c>
    </row>
    <row r="13">
      <c r="A13" s="6" t="inlineStr">
        <is>
          <t>ECO-009</t>
        </is>
      </c>
      <c r="B13" s="6" t="inlineStr">
        <is>
          <t>Bulk Gas Vessel Pressure Relief Resetting</t>
        </is>
      </c>
      <c r="C13" s="6" t="inlineStr">
        <is>
          <t>Safety / Linde</t>
        </is>
      </c>
      <c r="D13" s="6" t="inlineStr">
        <is>
          <t>Regulatory</t>
        </is>
      </c>
      <c r="E13" s="6" t="inlineStr">
        <is>
          <t>EQ-008</t>
        </is>
      </c>
      <c r="F13" s="8" t="inlineStr">
        <is>
          <t>Recalibrate PRV setpoints from 320 PSI to 300 PSI per updated site pressure vessel code</t>
        </is>
      </c>
      <c r="G13" s="8" t="inlineStr">
        <is>
          <t>Regulatory requirement — insurance inspection finding</t>
        </is>
      </c>
      <c r="H13" s="48" t="n">
        <v>4200</v>
      </c>
      <c r="I13" s="43" t="n">
        <v>0</v>
      </c>
      <c r="J13" s="8" t="inlineStr">
        <is>
          <t>No yield impact; safety compliance</t>
        </is>
      </c>
      <c r="K13" s="6" t="inlineStr">
        <is>
          <t>YES — pressure test re-cert required</t>
        </is>
      </c>
      <c r="L13" s="46" t="inlineStr">
        <is>
          <t>IN REVIEW</t>
        </is>
      </c>
      <c r="M13" s="6" t="inlineStr">
        <is>
          <t>2025-08-10</t>
        </is>
      </c>
      <c r="N13" s="6" t="inlineStr">
        <is>
          <t>Pending</t>
        </is>
      </c>
      <c r="O13" s="6" t="inlineStr">
        <is>
          <t>2025-09-15 target</t>
        </is>
      </c>
      <c r="P13" s="6" t="inlineStr">
        <is>
          <t>VDC-005</t>
        </is>
      </c>
    </row>
    <row r="14">
      <c r="A14" s="6" t="inlineStr">
        <is>
          <t>ECO-010</t>
        </is>
      </c>
      <c r="B14" s="6" t="inlineStr">
        <is>
          <t>Furnace Zone Controller Firmware Upgrade</t>
        </is>
      </c>
      <c r="C14" s="6" t="inlineStr">
        <is>
          <t>Process Engineering / Thermco</t>
        </is>
      </c>
      <c r="D14" s="6" t="inlineStr">
        <is>
          <t>Internal Engineering</t>
        </is>
      </c>
      <c r="E14" s="6" t="inlineStr">
        <is>
          <t>EQ-003</t>
        </is>
      </c>
      <c r="F14" s="8" t="inlineStr">
        <is>
          <t>Upgrade Thermco zone controller firmware v4.1-&gt;v4.3 for improved PID auto-tune algorithm</t>
        </is>
      </c>
      <c r="G14" s="8" t="inlineStr">
        <is>
          <t>Process stability improvement — temperature uniformity +/-0.3C better</t>
        </is>
      </c>
      <c r="H14" s="48" t="n">
        <v>7000</v>
      </c>
      <c r="I14" s="43" t="n">
        <v>0</v>
      </c>
      <c r="J14" s="8" t="inlineStr">
        <is>
          <t>Yield improvement expected +0.2%</t>
        </is>
      </c>
      <c r="K14" s="6" t="inlineStr">
        <is>
          <t>YES — process re-qualification run required</t>
        </is>
      </c>
      <c r="L14" s="76" t="inlineStr">
        <is>
          <t>DRAFT</t>
        </is>
      </c>
      <c r="M14" s="6" t="inlineStr">
        <is>
          <t>2025-09-05</t>
        </is>
      </c>
      <c r="N14" s="6" t="inlineStr">
        <is>
          <t>Pending</t>
        </is>
      </c>
      <c r="O14" s="6" t="inlineStr">
        <is>
          <t>TBC</t>
        </is>
      </c>
      <c r="P14" s="6" t="inlineStr">
        <is>
          <t>—</t>
        </is>
      </c>
    </row>
    <row r="17" ht="18" customHeight="1">
      <c r="A17" s="105" t="inlineStr">
        <is>
          <t>ECO SUMMARY</t>
        </is>
      </c>
    </row>
    <row r="18">
      <c r="A18" s="6" t="inlineStr">
        <is>
          <t>Total ECOs Raised</t>
        </is>
      </c>
      <c r="B18" s="49">
        <f>COUNTA(A5:A14)</f>
        <v/>
      </c>
    </row>
    <row r="19">
      <c r="A19" s="6" t="inlineStr">
        <is>
          <t>Implemented / Closed</t>
        </is>
      </c>
      <c r="B19" s="49">
        <f>COUNTIF(L5:L14,"IMPLEMENTED")</f>
        <v/>
      </c>
    </row>
    <row r="20">
      <c r="A20" s="6" t="inlineStr">
        <is>
          <t>In Review</t>
        </is>
      </c>
      <c r="B20" s="49">
        <f>COUNTIF(L5:L14,"IN REVIEW")</f>
        <v/>
      </c>
    </row>
    <row r="21">
      <c r="A21" s="6" t="inlineStr">
        <is>
          <t>Total Cost Impact (USD)</t>
        </is>
      </c>
      <c r="B21" s="50">
        <f>SUM(H5:H14)</f>
        <v/>
      </c>
    </row>
    <row r="22">
      <c r="A22" s="6" t="inlineStr">
        <is>
          <t>Requalification Required (count of YES)</t>
        </is>
      </c>
      <c r="B22" s="49">
        <f>COUNTIF(K5:K14,"YES*")</f>
        <v/>
      </c>
    </row>
  </sheetData>
  <mergeCells count="3">
    <mergeCell ref="A1:O1"/>
    <mergeCell ref="A2:O2"/>
    <mergeCell ref="A17:B17"/>
  </mergeCells>
  <pageMargins left="0.75" right="0.75" top="1" bottom="1" header="0.5" footer="0.5"/>
</worksheet>
</file>

<file path=xl/worksheets/sheet31.xml><?xml version="1.0" encoding="utf-8"?>
<worksheet xmlns="http://schemas.openxmlformats.org/spreadsheetml/2006/main">
  <sheetPr>
    <tabColor rgb="00C0392B"/>
    <outlinePr summaryBelow="1" summaryRight="1"/>
    <pageSetUpPr/>
  </sheetPr>
  <dimension ref="A1:O18"/>
  <sheetViews>
    <sheetView workbookViewId="0">
      <pane ySplit="5" topLeftCell="A6" activePane="bottomLeft" state="frozen"/>
      <selection pane="bottomLeft" activeCell="A1" sqref="A1"/>
    </sheetView>
  </sheetViews>
  <sheetFormatPr baseColWidth="8" defaultRowHeight="15"/>
  <cols>
    <col width="9" customWidth="1" min="1" max="1"/>
    <col width="11" customWidth="1" min="2" max="2"/>
    <col width="20" customWidth="1" min="3" max="3"/>
    <col width="10" customWidth="1" min="4" max="4"/>
    <col width="44" customWidth="1" min="5" max="5"/>
    <col width="11" customWidth="1" min="6" max="6"/>
    <col width="40" customWidth="1" min="7" max="7"/>
    <col width="12" customWidth="1" min="8" max="8"/>
    <col width="12" customWidth="1" min="9" max="9"/>
    <col width="36" customWidth="1" min="10" max="10"/>
    <col width="18" customWidth="1" min="11" max="11"/>
    <col width="40" customWidth="1" min="12" max="12"/>
    <col width="11" customWidth="1" min="13" max="13"/>
    <col width="12" customWidth="1" min="14" max="14"/>
    <col width="46" customWidth="1" min="15" max="15"/>
  </cols>
  <sheetData>
    <row r="1" ht="26" customHeight="1">
      <c r="A1" s="104" t="inlineStr">
        <is>
          <t>S27 — Vendor Design Changes (VDC) Register — Supplier-Initiated Changes</t>
        </is>
      </c>
    </row>
    <row r="2" ht="15" customHeight="1">
      <c r="A2" s="2" t="inlineStr">
        <is>
          <t>Tracks all supplier-initiated design changes — approval, risk, disposition | Owner: Sourabh Tarodekar | Linked ECOs in S26_Engineering_Change_Orders</t>
        </is>
      </c>
    </row>
    <row r="4" ht="30" customHeight="1">
      <c r="A4" s="106" t="inlineStr">
        <is>
          <t>VDC ID</t>
        </is>
      </c>
      <c r="B4" s="106" t="inlineStr">
        <is>
          <t>Linked ECO</t>
        </is>
      </c>
      <c r="C4" s="106" t="inlineStr">
        <is>
          <t>Supplier</t>
        </is>
      </c>
      <c r="D4" s="106" t="inlineStr">
        <is>
          <t>Equip Ref</t>
        </is>
      </c>
      <c r="E4" s="106" t="inlineStr">
        <is>
          <t>Change Description</t>
        </is>
      </c>
      <c r="F4" s="106" t="inlineStr">
        <is>
          <t>Change Type</t>
        </is>
      </c>
      <c r="G4" s="106" t="inlineStr">
        <is>
          <t>Supplier Reason</t>
        </is>
      </c>
      <c r="H4" s="106" t="inlineStr">
        <is>
          <t>Notified Date</t>
        </is>
      </c>
      <c r="I4" s="106" t="inlineStr">
        <is>
          <t>Customer Approval Req?</t>
        </is>
      </c>
      <c r="J4" s="106" t="inlineStr">
        <is>
          <t>Risk Assessment</t>
        </is>
      </c>
      <c r="K4" s="106" t="inlineStr">
        <is>
          <t>Disposition</t>
        </is>
      </c>
      <c r="L4" s="106" t="inlineStr">
        <is>
          <t>Conditions</t>
        </is>
      </c>
      <c r="M4" s="106" t="inlineStr">
        <is>
          <t>Requalif. Req?</t>
        </is>
      </c>
      <c r="N4" s="106" t="inlineStr">
        <is>
          <t>Approval Date</t>
        </is>
      </c>
      <c r="O4" s="106" t="inlineStr">
        <is>
          <t>Notes</t>
        </is>
      </c>
    </row>
    <row r="5">
      <c r="A5" s="6" t="inlineStr">
        <is>
          <t>VDC-001</t>
        </is>
      </c>
      <c r="B5" s="6" t="inlineStr">
        <is>
          <t>ECO-003</t>
        </is>
      </c>
      <c r="C5" s="6" t="inlineStr">
        <is>
          <t>Applied Materials</t>
        </is>
      </c>
      <c r="D5" s="6" t="inlineStr">
        <is>
          <t>EQ-014</t>
        </is>
      </c>
      <c r="E5" s="8" t="inlineStr">
        <is>
          <t>CVD SiC edge ring material substitution (SiC density &gt;=3.12 g/cm3 -&gt; premium CVD SiC grade)</t>
        </is>
      </c>
      <c r="F5" s="6" t="inlineStr">
        <is>
          <t>Function</t>
        </is>
      </c>
      <c r="G5" s="8" t="inlineStr">
        <is>
          <t>Improved dimensional stability at high temp; supplier quality improvement</t>
        </is>
      </c>
      <c r="H5" s="6" t="inlineStr">
        <is>
          <t>2025-02-10</t>
        </is>
      </c>
      <c r="I5" s="6" t="inlineStr">
        <is>
          <t>YES</t>
        </is>
      </c>
      <c r="J5" s="8" t="inlineStr">
        <is>
          <t>LOW — dimensional spec maintained; thermal improvement expected</t>
        </is>
      </c>
      <c r="K5" s="46" t="inlineStr">
        <is>
          <t>ACCEPT — CONDITIONAL</t>
        </is>
      </c>
      <c r="L5" s="8" t="inlineStr">
        <is>
          <t>Re-validate thermal profile; confirm +/-1.5% uniformity spec met</t>
        </is>
      </c>
      <c r="M5" s="6" t="inlineStr">
        <is>
          <t>YES</t>
        </is>
      </c>
      <c r="N5" s="6" t="inlineStr">
        <is>
          <t>2025-02-28</t>
        </is>
      </c>
      <c r="O5" s="8" t="inlineStr">
        <is>
          <t>Triggered ECO-003; AMAT FSE on-site for re-validation</t>
        </is>
      </c>
    </row>
    <row r="6">
      <c r="A6" s="6" t="inlineStr">
        <is>
          <t>VDC-002</t>
        </is>
      </c>
      <c r="B6" s="6" t="inlineStr">
        <is>
          <t>—</t>
        </is>
      </c>
      <c r="C6" s="6" t="inlineStr">
        <is>
          <t>Pfeiffer Vacuum</t>
        </is>
      </c>
      <c r="D6" s="6" t="inlineStr">
        <is>
          <t>EQ-002</t>
        </is>
      </c>
      <c r="E6" s="8" t="inlineStr">
        <is>
          <t>Magnet assembly supplier change — from EU Tier-2 to Asian Tier-2 supplier (equivalent grade spec)</t>
        </is>
      </c>
      <c r="F6" s="6" t="inlineStr">
        <is>
          <t>Form</t>
        </is>
      </c>
      <c r="G6" s="8" t="inlineStr">
        <is>
          <t>Tier-2 supplier consolidation; cost reduction in Pfeiffer supply chain</t>
        </is>
      </c>
      <c r="H6" s="6" t="inlineStr">
        <is>
          <t>2025-03-05</t>
        </is>
      </c>
      <c r="I6" s="6" t="inlineStr">
        <is>
          <t>YES</t>
        </is>
      </c>
      <c r="J6" s="8" t="inlineStr">
        <is>
          <t>HIGH — magnetic performance critical to TMP speed/accuracy</t>
        </is>
      </c>
      <c r="K6" s="73" t="inlineStr">
        <is>
          <t>REJECT</t>
        </is>
      </c>
      <c r="L6" s="8" t="inlineStr">
        <is>
          <t>Pfeiffer to provide full equivalency test data; re-submit with material certs</t>
        </is>
      </c>
      <c r="M6" s="6" t="inlineStr">
        <is>
          <t>YES</t>
        </is>
      </c>
      <c r="N6" s="6" t="inlineStr">
        <is>
          <t>—</t>
        </is>
      </c>
      <c r="O6" s="8" t="inlineStr">
        <is>
          <t>REJECTED: insufficient test data provided. Pfeiffer re-submitting with test certs Q3-2025</t>
        </is>
      </c>
    </row>
    <row r="7">
      <c r="A7" s="6" t="inlineStr">
        <is>
          <t>VDC-003</t>
        </is>
      </c>
      <c r="B7" s="6" t="inlineStr">
        <is>
          <t>ECO-002</t>
        </is>
      </c>
      <c r="C7" s="6" t="inlineStr">
        <is>
          <t>Tokyo Electron Ltd</t>
        </is>
      </c>
      <c r="D7" s="6" t="inlineStr">
        <is>
          <t>EQ-004</t>
        </is>
      </c>
      <c r="E7" s="8" t="inlineStr">
        <is>
          <t>PID zone controller firmware update v3.8 -&gt; v4.0 — new thermal ramp algorithm</t>
        </is>
      </c>
      <c r="F7" s="6" t="inlineStr">
        <is>
          <t>Fit/Function</t>
        </is>
      </c>
      <c r="G7" s="8" t="inlineStr">
        <is>
          <t>TEL global platform update — improved uniformity for 65nm+ processes</t>
        </is>
      </c>
      <c r="H7" s="6" t="inlineStr">
        <is>
          <t>2025-03-20</t>
        </is>
      </c>
      <c r="I7" s="6" t="inlineStr">
        <is>
          <t>YES</t>
        </is>
      </c>
      <c r="J7" s="8" t="inlineStr">
        <is>
          <t>LOW-MOD — algorithm change; verified by TEL at factory on identical system</t>
        </is>
      </c>
      <c r="K7" s="46" t="inlineStr">
        <is>
          <t>ACCEPT — CONDITIONAL</t>
        </is>
      </c>
      <c r="L7" s="8" t="inlineStr">
        <is>
          <t>Run 3-wafer PQ qualification lot before production release</t>
        </is>
      </c>
      <c r="M7" s="6" t="inlineStr">
        <is>
          <t>YES</t>
        </is>
      </c>
      <c r="N7" s="6" t="inlineStr">
        <is>
          <t>2025-04-08</t>
        </is>
      </c>
      <c r="O7" s="8" t="inlineStr">
        <is>
          <t>TEL global platform upgrade; triggered ECO-002 for recipe B3 update</t>
        </is>
      </c>
    </row>
    <row r="8">
      <c r="A8" s="6" t="inlineStr">
        <is>
          <t>VDC-004</t>
        </is>
      </c>
      <c r="B8" s="6" t="inlineStr">
        <is>
          <t>—</t>
        </is>
      </c>
      <c r="C8" s="6" t="inlineStr">
        <is>
          <t>Brooks Automation</t>
        </is>
      </c>
      <c r="D8" s="6" t="inlineStr">
        <is>
          <t>EQ-005</t>
        </is>
      </c>
      <c r="E8" s="8" t="inlineStr">
        <is>
          <t>SCARA servo drive firmware update v2.3 -&gt; v2.5 — improved torque compensation</t>
        </is>
      </c>
      <c r="F8" s="6" t="inlineStr">
        <is>
          <t>Function</t>
        </is>
      </c>
      <c r="G8" s="8" t="inlineStr">
        <is>
          <t>Bug fix — eliminates 0.05mm positional drift under thermal load</t>
        </is>
      </c>
      <c r="H8" s="6" t="inlineStr">
        <is>
          <t>2025-04-01</t>
        </is>
      </c>
      <c r="I8" s="6" t="inlineStr">
        <is>
          <t>NO</t>
        </is>
      </c>
      <c r="J8" s="8" t="inlineStr">
        <is>
          <t>LOW — positional improvement; no form/fit change</t>
        </is>
      </c>
      <c r="K8" s="40" t="inlineStr">
        <is>
          <t>ACCEPT</t>
        </is>
      </c>
      <c r="L8" s="8" t="inlineStr">
        <is>
          <t>No requalification required; monitor 30-day performance after update</t>
        </is>
      </c>
      <c r="M8" s="6" t="inlineStr">
        <is>
          <t>NO</t>
        </is>
      </c>
      <c r="N8" s="6" t="inlineStr">
        <is>
          <t>2025-04-08</t>
        </is>
      </c>
      <c r="O8" s="8" t="inlineStr">
        <is>
          <t>Brooks minor update; no qualification re-trigger required</t>
        </is>
      </c>
    </row>
    <row r="9">
      <c r="A9" s="6" t="inlineStr">
        <is>
          <t>VDC-005</t>
        </is>
      </c>
      <c r="B9" s="6" t="inlineStr">
        <is>
          <t>ECO-009</t>
        </is>
      </c>
      <c r="C9" s="6" t="inlineStr">
        <is>
          <t>Linde Engineering</t>
        </is>
      </c>
      <c r="D9" s="6" t="inlineStr">
        <is>
          <t>EQ-008</t>
        </is>
      </c>
      <c r="E9" s="8" t="inlineStr">
        <is>
          <t>Pressure relief valve manufacturer change (same setpoint; different brand — Leser -&gt; Emerson)</t>
        </is>
      </c>
      <c r="F9" s="6" t="inlineStr">
        <is>
          <t>Form</t>
        </is>
      </c>
      <c r="G9" s="8" t="inlineStr">
        <is>
          <t>Leser discontinuing model; Emerson equivalent specification</t>
        </is>
      </c>
      <c r="H9" s="6" t="inlineStr">
        <is>
          <t>2025-05-15</t>
        </is>
      </c>
      <c r="I9" s="6" t="inlineStr">
        <is>
          <t>YES</t>
        </is>
      </c>
      <c r="J9" s="8" t="inlineStr">
        <is>
          <t>MOD — safety-critical component; must verify setpoint and certification</t>
        </is>
      </c>
      <c r="K9" s="46" t="inlineStr">
        <is>
          <t>ACCEPT — CONDITIONAL</t>
        </is>
      </c>
      <c r="L9" s="8" t="inlineStr">
        <is>
          <t>Provide Emerson PED certification and hydrostatic test report</t>
        </is>
      </c>
      <c r="M9" s="6" t="inlineStr">
        <is>
          <t>YES</t>
        </is>
      </c>
      <c r="N9" s="6" t="inlineStr">
        <is>
          <t>Pending</t>
        </is>
      </c>
      <c r="O9" s="8" t="inlineStr">
        <is>
          <t>Triggered ECO-009 for pressure re-certification; Emerson certs received; review in progress</t>
        </is>
      </c>
    </row>
    <row r="10">
      <c r="A10" s="6" t="inlineStr">
        <is>
          <t>VDC-006</t>
        </is>
      </c>
      <c r="B10" s="6" t="inlineStr">
        <is>
          <t>—</t>
        </is>
      </c>
      <c r="C10" s="6" t="inlineStr">
        <is>
          <t>Siemens AG</t>
        </is>
      </c>
      <c r="D10" s="6" t="inlineStr">
        <is>
          <t>EQ-009</t>
        </is>
      </c>
      <c r="E10" s="8" t="inlineStr">
        <is>
          <t>TIA Portal software v18 -&gt; v19 migration — new tag management structure</t>
        </is>
      </c>
      <c r="F10" s="6" t="inlineStr">
        <is>
          <t>Fit</t>
        </is>
      </c>
      <c r="G10" s="8" t="inlineStr">
        <is>
          <t>Siemens mandatory platform migration for security patch compatibility</t>
        </is>
      </c>
      <c r="H10" s="6" t="inlineStr">
        <is>
          <t>2025-06-10</t>
        </is>
      </c>
      <c r="I10" s="6" t="inlineStr">
        <is>
          <t>YES</t>
        </is>
      </c>
      <c r="J10" s="8" t="inlineStr">
        <is>
          <t>LOW — software change; backward compatible; Siemens certified</t>
        </is>
      </c>
      <c r="K10" s="40" t="inlineStr">
        <is>
          <t>ACCEPT</t>
        </is>
      </c>
      <c r="L10" s="8" t="inlineStr">
        <is>
          <t>Apply per cybersecurity ECO-007 schedule; backup current config before update</t>
        </is>
      </c>
      <c r="M10" s="6" t="inlineStr">
        <is>
          <t>NO</t>
        </is>
      </c>
      <c r="N10" s="6" t="inlineStr">
        <is>
          <t>2025-06-20</t>
        </is>
      </c>
      <c r="O10" s="8" t="inlineStr">
        <is>
          <t>Coordinated with ECO-007 cybersecurity update; Siemens migration guide followed</t>
        </is>
      </c>
    </row>
    <row r="11">
      <c r="A11" s="6" t="inlineStr">
        <is>
          <t>VDC-007</t>
        </is>
      </c>
      <c r="B11" s="6" t="inlineStr">
        <is>
          <t>—</t>
        </is>
      </c>
      <c r="C11" s="6" t="inlineStr">
        <is>
          <t>Daikin Applied</t>
        </is>
      </c>
      <c r="D11" s="6" t="inlineStr">
        <is>
          <t>EQ-012</t>
        </is>
      </c>
      <c r="E11" s="8" t="inlineStr">
        <is>
          <t>Refrigerant change R-410A -&gt; R-454B (HFO blend) — regulatory compliance</t>
        </is>
      </c>
      <c r="F11" s="6" t="inlineStr">
        <is>
          <t>Function</t>
        </is>
      </c>
      <c r="G11" s="8" t="inlineStr">
        <is>
          <t>ASHRAE 34 update and EU F-Gas regulation phase-down of HFC refrigerants</t>
        </is>
      </c>
      <c r="H11" s="6" t="inlineStr">
        <is>
          <t>2025-07-01</t>
        </is>
      </c>
      <c r="I11" s="6" t="inlineStr">
        <is>
          <t>YES</t>
        </is>
      </c>
      <c r="J11" s="8" t="inlineStr">
        <is>
          <t>MOD — different refrigerant chemistry; system pressure slightly lower; seals reviewed</t>
        </is>
      </c>
      <c r="K11" s="46" t="inlineStr">
        <is>
          <t>ACCEPT — CONDITIONAL</t>
        </is>
      </c>
      <c r="L11" s="8" t="inlineStr">
        <is>
          <t>Daikin to provide updated system performance data and seal compatibility certs</t>
        </is>
      </c>
      <c r="M11" s="6" t="inlineStr">
        <is>
          <t>NO</t>
        </is>
      </c>
      <c r="N11" s="6" t="inlineStr">
        <is>
          <t>Pending</t>
        </is>
      </c>
      <c r="O11" s="8" t="inlineStr">
        <is>
          <t>Regulatory-driven; R-454B lower GWP. Daikin submitting updated commissioning data.</t>
        </is>
      </c>
    </row>
    <row r="14" ht="18" customHeight="1">
      <c r="A14" s="105" t="inlineStr">
        <is>
          <t>VDC SUMMARY</t>
        </is>
      </c>
    </row>
    <row r="15">
      <c r="A15" s="6" t="inlineStr">
        <is>
          <t>Total VDCs Logged</t>
        </is>
      </c>
      <c r="B15" s="49">
        <f>COUNTA(A5:A11)</f>
        <v/>
      </c>
    </row>
    <row r="16">
      <c r="A16" s="6" t="inlineStr">
        <is>
          <t>Accepted (incl. Conditional)</t>
        </is>
      </c>
      <c r="B16" s="49">
        <f>COUNTIF(K5:K11,"ACCEPT*")</f>
        <v/>
      </c>
    </row>
    <row r="17">
      <c r="A17" s="6" t="inlineStr">
        <is>
          <t>Rejected</t>
        </is>
      </c>
      <c r="B17" s="49">
        <f>COUNTIF(K5:K11,"REJECT")</f>
        <v/>
      </c>
    </row>
    <row r="18">
      <c r="A18" s="6" t="inlineStr">
        <is>
          <t>Requalification Required</t>
        </is>
      </c>
      <c r="B18" s="49">
        <f>COUNTIF(M5:M11,"YES")</f>
        <v/>
      </c>
    </row>
  </sheetData>
  <mergeCells count="3">
    <mergeCell ref="A1:O1"/>
    <mergeCell ref="A14:B14"/>
    <mergeCell ref="A2:O2"/>
  </mergeCells>
  <pageMargins left="0.75" right="0.75" top="1" bottom="1" header="0.5" footer="0.5"/>
</worksheet>
</file>

<file path=xl/worksheets/sheet32.xml><?xml version="1.0" encoding="utf-8"?>
<worksheet xmlns="http://schemas.openxmlformats.org/spreadsheetml/2006/main">
  <sheetPr>
    <tabColor rgb="00C0392B"/>
    <outlinePr summaryBelow="1" summaryRight="1"/>
    <pageSetUpPr/>
  </sheetPr>
  <dimension ref="A1:O26"/>
  <sheetViews>
    <sheetView workbookViewId="0">
      <pane ySplit="5" topLeftCell="A6" activePane="bottomLeft" state="frozen"/>
      <selection pane="bottomLeft" activeCell="A1" sqref="A1"/>
    </sheetView>
  </sheetViews>
  <sheetFormatPr baseColWidth="8" defaultRowHeight="15"/>
  <cols>
    <col width="9" customWidth="1" min="1" max="1"/>
    <col width="26" customWidth="1" min="2" max="2"/>
    <col width="10" customWidth="1" min="3" max="3"/>
    <col width="12" customWidth="1" min="4" max="4"/>
    <col width="12" customWidth="1" min="5" max="5"/>
    <col width="12" customWidth="1" min="6" max="6"/>
    <col width="9" customWidth="1" min="7" max="7"/>
    <col width="12" customWidth="1" min="8" max="8"/>
    <col width="12" customWidth="1" min="9" max="9"/>
    <col width="12" customWidth="1" min="10" max="10"/>
    <col width="12" customWidth="1" min="11" max="11"/>
    <col width="12" customWidth="1" min="12" max="12"/>
    <col width="11" customWidth="1" min="13" max="13"/>
    <col width="36" customWidth="1" min="14" max="14"/>
    <col width="46" customWidth="1" min="15" max="15"/>
  </cols>
  <sheetData>
    <row r="1" ht="26" customHeight="1">
      <c r="A1" s="104" t="inlineStr">
        <is>
          <t>S28 — Yield &amp; Production Metrics — OEE, Process Yield &amp; Quality Tracking</t>
        </is>
      </c>
    </row>
    <row r="2" ht="15" customHeight="1">
      <c r="A2" s="2" t="inlineStr">
        <is>
          <t>OEE = Availability x Performance x Quality | Yield target: 96% (S01 Assumptions) | Owner: Sourabh Tarodekar | Monthly reporting by process tool | Feeds S29 ROI Tracker</t>
        </is>
      </c>
    </row>
    <row r="4" ht="30" customHeight="1">
      <c r="A4" s="106" t="inlineStr">
        <is>
          <t>Equip ID</t>
        </is>
      </c>
      <c r="B4" s="106" t="inlineStr">
        <is>
          <t>Tool</t>
        </is>
      </c>
      <c r="C4" s="106" t="inlineStr">
        <is>
          <t>Period</t>
        </is>
      </c>
      <c r="D4" s="106" t="inlineStr">
        <is>
          <t>Availability (%)</t>
        </is>
      </c>
      <c r="E4" s="106" t="inlineStr">
        <is>
          <t>Performance (%)</t>
        </is>
      </c>
      <c r="F4" s="106" t="inlineStr">
        <is>
          <t>Quality Rate (%)</t>
        </is>
      </c>
      <c r="G4" s="106" t="inlineStr">
        <is>
          <t>OEE (%)</t>
        </is>
      </c>
      <c r="H4" s="106" t="inlineStr">
        <is>
          <t>Planned Yield (%)</t>
        </is>
      </c>
      <c r="I4" s="106" t="inlineStr">
        <is>
          <t>Actual Yield (%)</t>
        </is>
      </c>
      <c r="J4" s="106" t="inlineStr">
        <is>
          <t>Yield Variance (pp)</t>
        </is>
      </c>
      <c r="K4" s="106" t="inlineStr">
        <is>
          <t>Units Produced</t>
        </is>
      </c>
      <c r="L4" s="106" t="inlineStr">
        <is>
          <t>Units Scrapped</t>
        </is>
      </c>
      <c r="M4" s="106" t="inlineStr">
        <is>
          <t>Scrap Rate (%)</t>
        </is>
      </c>
      <c r="N4" s="106" t="inlineStr">
        <is>
          <t>Top Defect Mode</t>
        </is>
      </c>
      <c r="O4" s="106" t="inlineStr">
        <is>
          <t>Corrective Action</t>
        </is>
      </c>
    </row>
    <row r="5">
      <c r="A5" s="6" t="inlineStr">
        <is>
          <t>EQ-003</t>
        </is>
      </c>
      <c r="B5" s="6" t="inlineStr">
        <is>
          <t>Tube Furnace — Thermco</t>
        </is>
      </c>
      <c r="C5" s="6" t="inlineStr">
        <is>
          <t>Jul-2025</t>
        </is>
      </c>
      <c r="D5" s="47" t="n">
        <v>0.905</v>
      </c>
      <c r="E5" s="47" t="n">
        <v>0.96</v>
      </c>
      <c r="F5" s="47" t="n">
        <v>0.978</v>
      </c>
      <c r="G5" s="32">
        <f>D5*E5*F5</f>
        <v/>
      </c>
      <c r="H5" s="47" t="n">
        <v>0.96</v>
      </c>
      <c r="I5" s="47" t="n">
        <v>0.9409999999999999</v>
      </c>
      <c r="J5" s="32">
        <f>I5-H5</f>
        <v/>
      </c>
      <c r="K5" s="43" t="n">
        <v>15200</v>
      </c>
      <c r="L5" s="43" t="n">
        <v>890</v>
      </c>
      <c r="M5" s="32">
        <f>L5/K5</f>
        <v/>
      </c>
      <c r="N5" s="8" t="inlineStr">
        <is>
          <t>Zone 3 temp uniformity +/-1.8C</t>
        </is>
      </c>
      <c r="O5" s="8" t="inlineStr">
        <is>
          <t>TEL FSE reviewed; zone 3 element replaced; uniformity now +/-1.2C</t>
        </is>
      </c>
    </row>
    <row r="6">
      <c r="A6" s="6" t="inlineStr">
        <is>
          <t>EQ-003</t>
        </is>
      </c>
      <c r="B6" s="6" t="inlineStr">
        <is>
          <t>Tube Furnace — Thermco</t>
        </is>
      </c>
      <c r="C6" s="6" t="inlineStr">
        <is>
          <t>Aug-2025</t>
        </is>
      </c>
      <c r="D6" s="47" t="n">
        <v>0.92</v>
      </c>
      <c r="E6" s="47" t="n">
        <v>0.97</v>
      </c>
      <c r="F6" s="47" t="n">
        <v>0.983</v>
      </c>
      <c r="G6" s="32">
        <f>D6*E6*F6</f>
        <v/>
      </c>
      <c r="H6" s="47" t="n">
        <v>0.96</v>
      </c>
      <c r="I6" s="47" t="n">
        <v>0.958</v>
      </c>
      <c r="J6" s="32">
        <f>I6-H6</f>
        <v/>
      </c>
      <c r="K6" s="43" t="n">
        <v>16400</v>
      </c>
      <c r="L6" s="43" t="n">
        <v>277</v>
      </c>
      <c r="M6" s="32">
        <f>L6/K6</f>
        <v/>
      </c>
      <c r="N6" s="8" t="inlineStr">
        <is>
          <t>Minor particle contamination — wafer edge</t>
        </is>
      </c>
      <c r="O6" s="8" t="inlineStr">
        <is>
          <t>Cleaning protocol updated; edge exclusion improved</t>
        </is>
      </c>
    </row>
    <row r="7">
      <c r="A7" s="6" t="inlineStr">
        <is>
          <t>EQ-003</t>
        </is>
      </c>
      <c r="B7" s="6" t="inlineStr">
        <is>
          <t>Tube Furnace — Thermco</t>
        </is>
      </c>
      <c r="C7" s="6" t="inlineStr">
        <is>
          <t>Sep-2025</t>
        </is>
      </c>
      <c r="D7" s="47" t="n">
        <v>0.93</v>
      </c>
      <c r="E7" s="47" t="n">
        <v>0.97</v>
      </c>
      <c r="F7" s="47" t="n">
        <v>0.987</v>
      </c>
      <c r="G7" s="32">
        <f>D7*E7*F7</f>
        <v/>
      </c>
      <c r="H7" s="47" t="n">
        <v>0.96</v>
      </c>
      <c r="I7" s="47" t="n">
        <v>0.966</v>
      </c>
      <c r="J7" s="32">
        <f>I7-H7</f>
        <v/>
      </c>
      <c r="K7" s="43" t="n">
        <v>17200</v>
      </c>
      <c r="L7" s="43" t="n">
        <v>228</v>
      </c>
      <c r="M7" s="32">
        <f>L7/K7</f>
        <v/>
      </c>
      <c r="N7" s="8" t="inlineStr">
        <is>
          <t>Within spec — no dominant defect</t>
        </is>
      </c>
      <c r="O7" s="8" t="inlineStr">
        <is>
          <t>No action required</t>
        </is>
      </c>
    </row>
    <row r="8">
      <c r="A8" s="6" t="inlineStr">
        <is>
          <t>EQ-004</t>
        </is>
      </c>
      <c r="B8" s="6" t="inlineStr">
        <is>
          <t>Batch Oxidation Furnace — TEL</t>
        </is>
      </c>
      <c r="C8" s="6" t="inlineStr">
        <is>
          <t>Jul-2025</t>
        </is>
      </c>
      <c r="D8" s="47" t="n">
        <v>0.91</v>
      </c>
      <c r="E8" s="47" t="n">
        <v>0.955</v>
      </c>
      <c r="F8" s="47" t="n">
        <v>0.975</v>
      </c>
      <c r="G8" s="32">
        <f>D8*E8*F8</f>
        <v/>
      </c>
      <c r="H8" s="47" t="n">
        <v>0.96</v>
      </c>
      <c r="I8" s="47" t="n">
        <v>0.9329999999999999</v>
      </c>
      <c r="J8" s="32">
        <f>I8-H8</f>
        <v/>
      </c>
      <c r="K8" s="43" t="n">
        <v>10800</v>
      </c>
      <c r="L8" s="43" t="n">
        <v>270</v>
      </c>
      <c r="M8" s="32">
        <f>L8/K8</f>
        <v/>
      </c>
      <c r="N8" s="8" t="inlineStr">
        <is>
          <t>Batch loading uniformity — slot 1/24 variation</t>
        </is>
      </c>
      <c r="O8" s="8" t="inlineStr">
        <is>
          <t>TEL batch loading algorithm updated; batch review at G4 gate</t>
        </is>
      </c>
    </row>
    <row r="9">
      <c r="A9" s="6" t="inlineStr">
        <is>
          <t>EQ-004</t>
        </is>
      </c>
      <c r="B9" s="6" t="inlineStr">
        <is>
          <t>Batch Oxidation Furnace — TEL</t>
        </is>
      </c>
      <c r="C9" s="6" t="inlineStr">
        <is>
          <t>Aug-2025</t>
        </is>
      </c>
      <c r="D9" s="47" t="n">
        <v>0.91</v>
      </c>
      <c r="E9" s="47" t="n">
        <v>0.965</v>
      </c>
      <c r="F9" s="47" t="n">
        <v>0.978</v>
      </c>
      <c r="G9" s="32">
        <f>D9*E9*F9</f>
        <v/>
      </c>
      <c r="H9" s="47" t="n">
        <v>0.96</v>
      </c>
      <c r="I9" s="47" t="n">
        <v>0.9409999999999999</v>
      </c>
      <c r="J9" s="32">
        <f>I9-H9</f>
        <v/>
      </c>
      <c r="K9" s="43" t="n">
        <v>11200</v>
      </c>
      <c r="L9" s="43" t="n">
        <v>246</v>
      </c>
      <c r="M9" s="32">
        <f>L9/K9</f>
        <v/>
      </c>
      <c r="N9" s="8" t="inlineStr">
        <is>
          <t>Improving — loading fix effective</t>
        </is>
      </c>
      <c r="O9" s="8" t="inlineStr">
        <is>
          <t>Monitor; target 95%+ OEE next period</t>
        </is>
      </c>
    </row>
    <row r="10">
      <c r="A10" s="6" t="inlineStr">
        <is>
          <t>EQ-004</t>
        </is>
      </c>
      <c r="B10" s="6" t="inlineStr">
        <is>
          <t>Batch Oxidation Furnace — TEL</t>
        </is>
      </c>
      <c r="C10" s="6" t="inlineStr">
        <is>
          <t>Sep-2025</t>
        </is>
      </c>
      <c r="D10" s="47" t="n">
        <v>0.92</v>
      </c>
      <c r="E10" s="47" t="n">
        <v>0.97</v>
      </c>
      <c r="F10" s="47" t="n">
        <v>0.982</v>
      </c>
      <c r="G10" s="32">
        <f>D10*E10*F10</f>
        <v/>
      </c>
      <c r="H10" s="47" t="n">
        <v>0.96</v>
      </c>
      <c r="I10" s="47" t="n">
        <v>0.9540000000000001</v>
      </c>
      <c r="J10" s="32">
        <f>I10-H10</f>
        <v/>
      </c>
      <c r="K10" s="43" t="n">
        <v>11850</v>
      </c>
      <c r="L10" s="43" t="n">
        <v>195</v>
      </c>
      <c r="M10" s="32">
        <f>L10/K10</f>
        <v/>
      </c>
      <c r="N10" s="8" t="inlineStr">
        <is>
          <t>Minor recipe drift — within SPC control</t>
        </is>
      </c>
      <c r="O10" s="8" t="inlineStr">
        <is>
          <t>SPC limits tightened; no action required</t>
        </is>
      </c>
    </row>
    <row r="11">
      <c r="A11" s="6" t="inlineStr">
        <is>
          <t>EQ-005</t>
        </is>
      </c>
      <c r="B11" s="6" t="inlineStr">
        <is>
          <t>SCARA Robot — Brooks (x6)</t>
        </is>
      </c>
      <c r="C11" s="6" t="inlineStr">
        <is>
          <t>Jul-2025</t>
        </is>
      </c>
      <c r="D11" s="47" t="n">
        <v>0.9350000000000001</v>
      </c>
      <c r="E11" s="47" t="n">
        <v>0.985</v>
      </c>
      <c r="F11" s="47" t="n">
        <v>0.999</v>
      </c>
      <c r="G11" s="32">
        <f>D11*E11*F11</f>
        <v/>
      </c>
      <c r="H11" s="6" t="inlineStr">
        <is>
          <t>N/A</t>
        </is>
      </c>
      <c r="I11" s="47" t="n">
        <v>0.956</v>
      </c>
      <c r="J11" s="6" t="inlineStr">
        <is>
          <t>N/A</t>
        </is>
      </c>
      <c r="K11" s="43" t="n">
        <v>62800</v>
      </c>
      <c r="L11" s="43" t="n">
        <v>63</v>
      </c>
      <c r="M11" s="32">
        <f>L11/K11</f>
        <v/>
      </c>
      <c r="N11" s="8" t="inlineStr">
        <is>
          <t>Isolated pick error — Wrist B calibration</t>
        </is>
      </c>
      <c r="O11" s="8" t="inlineStr">
        <is>
          <t>Calibration corrected; all 6 robots re-verified</t>
        </is>
      </c>
    </row>
    <row r="12">
      <c r="A12" s="6" t="inlineStr">
        <is>
          <t>EQ-005</t>
        </is>
      </c>
      <c r="B12" s="6" t="inlineStr">
        <is>
          <t>SCARA Robot — Brooks (x6)</t>
        </is>
      </c>
      <c r="C12" s="6" t="inlineStr">
        <is>
          <t>Aug-2025</t>
        </is>
      </c>
      <c r="D12" s="47" t="n">
        <v>0.945</v>
      </c>
      <c r="E12" s="47" t="n">
        <v>0.99</v>
      </c>
      <c r="F12" s="47" t="n">
        <v>1</v>
      </c>
      <c r="G12" s="32">
        <f>D12*E12*F12</f>
        <v/>
      </c>
      <c r="H12" s="6" t="inlineStr">
        <is>
          <t>N/A</t>
        </is>
      </c>
      <c r="I12" s="47" t="n">
        <v>0.971</v>
      </c>
      <c r="J12" s="6" t="inlineStr">
        <is>
          <t>N/A</t>
        </is>
      </c>
      <c r="K12" s="43" t="n">
        <v>66200</v>
      </c>
      <c r="L12" s="43" t="n">
        <v>0</v>
      </c>
      <c r="M12" s="32">
        <f>L12/K12</f>
        <v/>
      </c>
      <c r="N12" s="8" t="inlineStr">
        <is>
          <t>None — zero defects this period</t>
        </is>
      </c>
      <c r="O12" s="8" t="inlineStr">
        <is>
          <t>No action required</t>
        </is>
      </c>
    </row>
    <row r="13">
      <c r="A13" s="6" t="inlineStr">
        <is>
          <t>EQ-005</t>
        </is>
      </c>
      <c r="B13" s="6" t="inlineStr">
        <is>
          <t>SCARA Robot — Brooks (x6)</t>
        </is>
      </c>
      <c r="C13" s="6" t="inlineStr">
        <is>
          <t>Sep-2025</t>
        </is>
      </c>
      <c r="D13" s="47" t="n">
        <v>0.9399999999999999</v>
      </c>
      <c r="E13" s="47" t="n">
        <v>0.99</v>
      </c>
      <c r="F13" s="47" t="n">
        <v>1</v>
      </c>
      <c r="G13" s="32">
        <f>D13*E13*F13</f>
        <v/>
      </c>
      <c r="H13" s="6" t="inlineStr">
        <is>
          <t>N/A</t>
        </is>
      </c>
      <c r="I13" s="47" t="n">
        <v>0.9670000000000001</v>
      </c>
      <c r="J13" s="6" t="inlineStr">
        <is>
          <t>N/A</t>
        </is>
      </c>
      <c r="K13" s="43" t="n">
        <v>67100</v>
      </c>
      <c r="L13" s="43" t="n">
        <v>0</v>
      </c>
      <c r="M13" s="32">
        <f>L13/K13</f>
        <v/>
      </c>
      <c r="N13" s="8" t="inlineStr">
        <is>
          <t>None</t>
        </is>
      </c>
      <c r="O13" s="8" t="inlineStr">
        <is>
          <t>No action required</t>
        </is>
      </c>
    </row>
    <row r="14">
      <c r="A14" s="6" t="inlineStr">
        <is>
          <t>EQ-014</t>
        </is>
      </c>
      <c r="B14" s="6" t="inlineStr">
        <is>
          <t>RTP — Applied Materials (x2)</t>
        </is>
      </c>
      <c r="C14" s="6" t="inlineStr">
        <is>
          <t>Jul-2025</t>
        </is>
      </c>
      <c r="D14" s="47" t="n">
        <v>0.93</v>
      </c>
      <c r="E14" s="47" t="n">
        <v>0.975</v>
      </c>
      <c r="F14" s="47" t="n">
        <v>0.983</v>
      </c>
      <c r="G14" s="32">
        <f>D14*E14*F14</f>
        <v/>
      </c>
      <c r="H14" s="47" t="n">
        <v>0.96</v>
      </c>
      <c r="I14" s="47" t="n">
        <v>0.9590000000000001</v>
      </c>
      <c r="J14" s="32">
        <f>I14-H14</f>
        <v/>
      </c>
      <c r="K14" s="43" t="n">
        <v>8900</v>
      </c>
      <c r="L14" s="43" t="n">
        <v>107</v>
      </c>
      <c r="M14" s="32">
        <f>L14/K14</f>
        <v/>
      </c>
      <c r="N14" s="8" t="inlineStr">
        <is>
          <t>Edge ring thermal non-uniformity — pre-ECO-003</t>
        </is>
      </c>
      <c r="O14" s="8" t="inlineStr">
        <is>
          <t>ECO-003 CVD SiC edge ring replacement — resolved</t>
        </is>
      </c>
    </row>
    <row r="15">
      <c r="A15" s="6" t="inlineStr">
        <is>
          <t>EQ-014</t>
        </is>
      </c>
      <c r="B15" s="6" t="inlineStr">
        <is>
          <t>RTP — Applied Materials (x2)</t>
        </is>
      </c>
      <c r="C15" s="6" t="inlineStr">
        <is>
          <t>Aug-2025</t>
        </is>
      </c>
      <c r="D15" s="47" t="n">
        <v>0.9350000000000001</v>
      </c>
      <c r="E15" s="47" t="n">
        <v>0.98</v>
      </c>
      <c r="F15" s="47" t="n">
        <v>0.991</v>
      </c>
      <c r="G15" s="32">
        <f>D15*E15*F15</f>
        <v/>
      </c>
      <c r="H15" s="47" t="n">
        <v>0.96</v>
      </c>
      <c r="I15" s="47" t="n">
        <v>0.971</v>
      </c>
      <c r="J15" s="32">
        <f>I15-H15</f>
        <v/>
      </c>
      <c r="K15" s="43" t="n">
        <v>9200</v>
      </c>
      <c r="L15" s="43" t="n">
        <v>56</v>
      </c>
      <c r="M15" s="32">
        <f>L15/K15</f>
        <v/>
      </c>
      <c r="N15" s="8" t="inlineStr">
        <is>
          <t>Below spec — none; edge exclusion improved</t>
        </is>
      </c>
      <c r="O15" s="8" t="inlineStr">
        <is>
          <t>ECO-003 effective; no action required</t>
        </is>
      </c>
    </row>
    <row r="16">
      <c r="A16" s="6" t="inlineStr">
        <is>
          <t>EQ-014</t>
        </is>
      </c>
      <c r="B16" s="6" t="inlineStr">
        <is>
          <t>RTP — Applied Materials (x2)</t>
        </is>
      </c>
      <c r="C16" s="6" t="inlineStr">
        <is>
          <t>Sep-2025</t>
        </is>
      </c>
      <c r="D16" s="47" t="n">
        <v>0.9399999999999999</v>
      </c>
      <c r="E16" s="47" t="n">
        <v>0.98</v>
      </c>
      <c r="F16" s="47" t="n">
        <v>0.993</v>
      </c>
      <c r="G16" s="32">
        <f>D16*E16*F16</f>
        <v/>
      </c>
      <c r="H16" s="47" t="n">
        <v>0.96</v>
      </c>
      <c r="I16" s="47" t="n">
        <v>0.973</v>
      </c>
      <c r="J16" s="32">
        <f>I16-H16</f>
        <v/>
      </c>
      <c r="K16" s="43" t="n">
        <v>9450</v>
      </c>
      <c r="L16" s="43" t="n">
        <v>47</v>
      </c>
      <c r="M16" s="32">
        <f>L16/K16</f>
        <v/>
      </c>
      <c r="N16" s="8" t="inlineStr">
        <is>
          <t>Within spec — lamp uniformity nominal</t>
        </is>
      </c>
      <c r="O16" s="8" t="inlineStr">
        <is>
          <t>AMAT lamp performance meeting spec; no action</t>
        </is>
      </c>
    </row>
    <row r="19" ht="18" customHeight="1">
      <c r="A19" s="105" t="inlineStr">
        <is>
          <t>PROGRAM OEE SUMMARY</t>
        </is>
      </c>
    </row>
    <row r="20">
      <c r="A20" s="6" t="inlineStr">
        <is>
          <t>OEE Target (Avail 92% x Perf 97% x Quality 96%)</t>
        </is>
      </c>
      <c r="B20" s="101">
        <f>0.92*0.97*0.96</f>
        <v/>
      </c>
    </row>
    <row r="21">
      <c r="A21" s="6" t="inlineStr">
        <is>
          <t>Average Actual OEE (Process Tools, Q3-2025)</t>
        </is>
      </c>
      <c r="B21" s="101">
        <f>AVERAGE(G5:G16)</f>
        <v/>
      </c>
    </row>
    <row r="22">
      <c r="A22" s="6" t="inlineStr">
        <is>
          <t>Yield Target (S01 Assumptions)</t>
        </is>
      </c>
      <c r="B22" s="101" t="n">
        <v>0.96</v>
      </c>
    </row>
    <row r="23">
      <c r="A23" s="6" t="inlineStr">
        <is>
          <t>Average Actual Yield (Q3-2025)</t>
        </is>
      </c>
      <c r="B23" s="101">
        <f>AVERAGE(I5:I16)</f>
        <v/>
      </c>
    </row>
    <row r="24">
      <c r="A24" s="6" t="inlineStr">
        <is>
          <t>Tools Below OEE Target this Period</t>
        </is>
      </c>
      <c r="B24" s="49">
        <f>COUNTIF(G5:G16,"&lt;"&amp;0.92*0.97*0.96)</f>
        <v/>
      </c>
    </row>
    <row r="25">
      <c r="A25" s="6" t="inlineStr">
        <is>
          <t>Total Units Produced (Q3-2025)</t>
        </is>
      </c>
      <c r="B25" s="49">
        <f>SUM(K5:K16)</f>
        <v/>
      </c>
    </row>
    <row r="26">
      <c r="A26" s="6" t="inlineStr">
        <is>
          <t>Total Units Scrapped (Q3-2025)</t>
        </is>
      </c>
      <c r="B26" s="49">
        <f>SUM(L5:L16)</f>
        <v/>
      </c>
    </row>
  </sheetData>
  <mergeCells count="3">
    <mergeCell ref="A1:O1"/>
    <mergeCell ref="A19:B19"/>
    <mergeCell ref="A2:O2"/>
  </mergeCells>
  <pageMargins left="0.75" right="0.75" top="1" bottom="1" header="0.5" footer="0.5"/>
</worksheet>
</file>

<file path=xl/worksheets/sheet33.xml><?xml version="1.0" encoding="utf-8"?>
<worksheet xmlns="http://schemas.openxmlformats.org/spreadsheetml/2006/main">
  <sheetPr>
    <tabColor rgb="00C0392B"/>
    <outlinePr summaryBelow="1" summaryRight="1"/>
    <pageSetUpPr/>
  </sheetPr>
  <dimension ref="A1:M24"/>
  <sheetViews>
    <sheetView workbookViewId="0">
      <pane ySplit="5" topLeftCell="A6" activePane="bottomLeft" state="frozen"/>
      <selection pane="bottomLeft" activeCell="A1" sqref="A1"/>
    </sheetView>
  </sheetViews>
  <sheetFormatPr baseColWidth="8" defaultRowHeight="15"/>
  <cols>
    <col width="10" customWidth="1" min="1" max="1"/>
    <col width="30" customWidth="1" min="2" max="2"/>
    <col width="14" customWidth="1" min="3" max="3"/>
    <col width="14" customWidth="1" min="4" max="4"/>
    <col width="12" customWidth="1" min="5" max="5"/>
    <col width="12" customWidth="1" min="6" max="6"/>
    <col width="12" customWidth="1" min="7" max="7"/>
    <col width="12" customWidth="1" min="8" max="8"/>
    <col width="15" customWidth="1" min="9" max="9"/>
    <col width="15" customWidth="1" min="10" max="10"/>
    <col width="10" customWidth="1" min="11" max="11"/>
    <col width="12" customWidth="1" min="12" max="12"/>
    <col width="50" customWidth="1" min="13" max="13"/>
  </cols>
  <sheetData>
    <row r="1" ht="26" customHeight="1">
      <c r="A1" s="104" t="inlineStr">
        <is>
          <t>S29 — Equipment ROI &amp; Performance Tracker — Actual vs Plan (Post-Commissioning)</t>
        </is>
      </c>
    </row>
    <row r="2" ht="15" customHeight="1">
      <c r="A2" s="2" t="inlineStr">
        <is>
          <t>Program: Greenfield Expansion Phase II | Populated after G5 Production Release | 30-day / 90-day / 180-day checkpoints | Actual inputs in BLUE | Variances auto-calculated | Planned values pulled from S02 (throughput/uptime) and S10 (capacity model)</t>
        </is>
      </c>
    </row>
    <row r="4" ht="30" customHeight="1">
      <c r="A4" s="106" t="inlineStr">
        <is>
          <t>Equipment ID</t>
        </is>
      </c>
      <c r="B4" s="106" t="inlineStr">
        <is>
          <t>Equipment / Tool</t>
        </is>
      </c>
      <c r="C4" s="106" t="inlineStr">
        <is>
          <t>Planned Throughput (u/hr)</t>
        </is>
      </c>
      <c r="D4" s="106" t="inlineStr">
        <is>
          <t>Actual Throughput (u/hr)</t>
        </is>
      </c>
      <c r="E4" s="106" t="inlineStr">
        <is>
          <t>Throughput Variance</t>
        </is>
      </c>
      <c r="F4" s="106" t="inlineStr">
        <is>
          <t>Planned Uptime %</t>
        </is>
      </c>
      <c r="G4" s="106" t="inlineStr">
        <is>
          <t>Actual Uptime %</t>
        </is>
      </c>
      <c r="H4" s="106" t="inlineStr">
        <is>
          <t>Uptime Variance</t>
        </is>
      </c>
      <c r="I4" s="106" t="inlineStr">
        <is>
          <t>Planned Annual Energy Cost</t>
        </is>
      </c>
      <c r="J4" s="106" t="inlineStr">
        <is>
          <t>Actual Annual Energy Cost</t>
        </is>
      </c>
      <c r="K4" s="106" t="inlineStr">
        <is>
          <t>Checkpoint</t>
        </is>
      </c>
      <c r="L4" s="106" t="inlineStr">
        <is>
          <t>Status</t>
        </is>
      </c>
      <c r="M4" s="106" t="inlineStr">
        <is>
          <t>Notes</t>
        </is>
      </c>
    </row>
    <row r="5">
      <c r="A5" s="6" t="inlineStr">
        <is>
          <t>EQ-003</t>
        </is>
      </c>
      <c r="B5" s="6" t="inlineStr">
        <is>
          <t>Tube Furnace — Thermco</t>
        </is>
      </c>
      <c r="C5" s="6" t="n">
        <v>24</v>
      </c>
      <c r="D5" s="43" t="n">
        <v>23</v>
      </c>
      <c r="E5" s="6">
        <f>D5-C5</f>
        <v/>
      </c>
      <c r="F5" s="32" t="n">
        <v>0.92</v>
      </c>
      <c r="G5" s="47" t="n">
        <v>0.905</v>
      </c>
      <c r="H5" s="32">
        <f>G5-F5</f>
        <v/>
      </c>
      <c r="I5" s="41" t="n">
        <v>86944</v>
      </c>
      <c r="J5" s="6" t="inlineStr">
        <is>
          <t>Pending</t>
        </is>
      </c>
      <c r="K5" s="6" t="inlineStr">
        <is>
          <t>30-Day</t>
        </is>
      </c>
      <c r="L5" s="75" t="inlineStr">
        <is>
          <t>IN PROGRESS</t>
        </is>
      </c>
      <c r="M5" s="8" t="inlineStr">
        <is>
          <t>Monitor zone temperature uniformity; recipe 3 showing 0.3% yield below target</t>
        </is>
      </c>
    </row>
    <row r="6">
      <c r="A6" s="6" t="inlineStr">
        <is>
          <t>EQ-004</t>
        </is>
      </c>
      <c r="B6" s="6" t="inlineStr">
        <is>
          <t>Batch Oxidation Furnace — TEL</t>
        </is>
      </c>
      <c r="C6" s="6" t="n">
        <v>18</v>
      </c>
      <c r="D6" s="43" t="n">
        <v>18</v>
      </c>
      <c r="E6" s="6">
        <f>D6-C6</f>
        <v/>
      </c>
      <c r="F6" s="32" t="n">
        <v>0.92</v>
      </c>
      <c r="G6" s="47" t="n">
        <v>0.91</v>
      </c>
      <c r="H6" s="32">
        <f>G6-F6</f>
        <v/>
      </c>
      <c r="I6" s="41" t="n">
        <v>100672</v>
      </c>
      <c r="J6" s="6" t="inlineStr">
        <is>
          <t>Pending</t>
        </is>
      </c>
      <c r="K6" s="6" t="inlineStr">
        <is>
          <t>30-Day</t>
        </is>
      </c>
      <c r="L6" s="75" t="inlineStr">
        <is>
          <t>IN PROGRESS</t>
        </is>
      </c>
      <c r="M6" s="8" t="inlineStr">
        <is>
          <t>TEL FSE reviewing batch loading algorithm; minor throughput shortfall under investigation</t>
        </is>
      </c>
    </row>
    <row r="7">
      <c r="A7" s="6" t="inlineStr">
        <is>
          <t>EQ-005</t>
        </is>
      </c>
      <c r="B7" s="6" t="inlineStr">
        <is>
          <t>SCARA Robot — Brooks (x6)</t>
        </is>
      </c>
      <c r="C7" s="6" t="n">
        <v>120</v>
      </c>
      <c r="D7" s="43" t="n">
        <v>118</v>
      </c>
      <c r="E7" s="6">
        <f>D7-C7</f>
        <v/>
      </c>
      <c r="F7" s="32" t="n">
        <v>0.92</v>
      </c>
      <c r="G7" s="47" t="n">
        <v>0.9350000000000001</v>
      </c>
      <c r="H7" s="32">
        <f>G7-F7</f>
        <v/>
      </c>
      <c r="I7" s="41" t="n">
        <v>3844</v>
      </c>
      <c r="J7" s="6" t="inlineStr">
        <is>
          <t>Pending</t>
        </is>
      </c>
      <c r="K7" s="6" t="inlineStr">
        <is>
          <t>30-Day</t>
        </is>
      </c>
      <c r="L7" s="40" t="inlineStr">
        <is>
          <t>ABOVE PLAN</t>
        </is>
      </c>
      <c r="M7" s="8" t="inlineStr">
        <is>
          <t>Robot uptime exceeding plan. MES integration performing well. No action required.</t>
        </is>
      </c>
    </row>
    <row r="8">
      <c r="A8" s="6" t="inlineStr">
        <is>
          <t>EQ-014</t>
        </is>
      </c>
      <c r="B8" s="6" t="inlineStr">
        <is>
          <t>RTP — Applied Materials (x2)</t>
        </is>
      </c>
      <c r="C8" s="6" t="n">
        <v>32</v>
      </c>
      <c r="D8" s="43" t="n">
        <v>32</v>
      </c>
      <c r="E8" s="6">
        <f>D8-C8</f>
        <v/>
      </c>
      <c r="F8" s="32" t="n">
        <v>0.92</v>
      </c>
      <c r="G8" s="47" t="n">
        <v>0.93</v>
      </c>
      <c r="H8" s="32">
        <f>G8-F8</f>
        <v/>
      </c>
      <c r="I8" s="41" t="n">
        <v>77792</v>
      </c>
      <c r="J8" s="6" t="inlineStr">
        <is>
          <t>Pending</t>
        </is>
      </c>
      <c r="K8" s="6" t="inlineStr">
        <is>
          <t>30-Day</t>
        </is>
      </c>
      <c r="L8" s="40" t="inlineStr">
        <is>
          <t>ABOVE PLAN</t>
        </is>
      </c>
      <c r="M8" s="8" t="inlineStr">
        <is>
          <t>Edge ring yield at 97.2% vs 96% target. Lamp array performing well. No action.</t>
        </is>
      </c>
    </row>
    <row r="9">
      <c r="A9" s="6" t="inlineStr">
        <is>
          <t>EQ-001</t>
        </is>
      </c>
      <c r="B9" s="6" t="inlineStr">
        <is>
          <t>Dry Screw Vacuum Pump (x4)</t>
        </is>
      </c>
      <c r="C9" s="6" t="inlineStr">
        <is>
          <t>N/A</t>
        </is>
      </c>
      <c r="D9" s="6" t="inlineStr">
        <is>
          <t>Pending</t>
        </is>
      </c>
      <c r="E9" s="6" t="inlineStr">
        <is>
          <t>—</t>
        </is>
      </c>
      <c r="F9" s="32" t="n">
        <v>0.92</v>
      </c>
      <c r="G9" s="47" t="n">
        <v>0.88</v>
      </c>
      <c r="H9" s="32">
        <f>G9-F9</f>
        <v/>
      </c>
      <c r="I9" s="41" t="n">
        <v>16931</v>
      </c>
      <c r="J9" s="6" t="inlineStr">
        <is>
          <t>Pending</t>
        </is>
      </c>
      <c r="K9" s="6" t="inlineStr">
        <is>
          <t>90-Day</t>
        </is>
      </c>
      <c r="L9" s="73" t="inlineStr">
        <is>
          <t>BELOW PLAN</t>
        </is>
      </c>
      <c r="M9" s="8" t="inlineStr">
        <is>
          <t>Uptime below plan — bearing set replacement needed on pump 2. CR raised.</t>
        </is>
      </c>
    </row>
    <row r="10">
      <c r="A10" s="6" t="inlineStr">
        <is>
          <t>EQ-002</t>
        </is>
      </c>
      <c r="B10" s="6" t="inlineStr">
        <is>
          <t>Turbomolecular Pump — Pfeiffer (x3)</t>
        </is>
      </c>
      <c r="C10" s="6" t="inlineStr">
        <is>
          <t>N/A</t>
        </is>
      </c>
      <c r="D10" s="6" t="inlineStr">
        <is>
          <t>Pending</t>
        </is>
      </c>
      <c r="E10" s="6" t="inlineStr">
        <is>
          <t>—</t>
        </is>
      </c>
      <c r="F10" s="32" t="n">
        <v>0.92</v>
      </c>
      <c r="G10" s="6" t="inlineStr">
        <is>
          <t>Pending</t>
        </is>
      </c>
      <c r="H10" s="6" t="inlineStr">
        <is>
          <t>—</t>
        </is>
      </c>
      <c r="I10" s="41" t="n">
        <v>10982</v>
      </c>
      <c r="J10" s="6" t="inlineStr">
        <is>
          <t>Pending</t>
        </is>
      </c>
      <c r="K10" s="6" t="inlineStr">
        <is>
          <t>90-Day</t>
        </is>
      </c>
      <c r="L10" s="107" t="inlineStr">
        <is>
          <t>PENDING</t>
        </is>
      </c>
      <c r="M10" s="8" t="inlineStr">
        <is>
          <t>90-day checkpoint pending. Safety stock in place.</t>
        </is>
      </c>
    </row>
    <row r="11">
      <c r="A11" s="6" t="inlineStr">
        <is>
          <t>EQ-006</t>
        </is>
      </c>
      <c r="B11" s="6" t="inlineStr">
        <is>
          <t>Overhead Conveyor — Daifuku</t>
        </is>
      </c>
      <c r="C11" s="6" t="inlineStr">
        <is>
          <t>N/A</t>
        </is>
      </c>
      <c r="D11" s="6" t="inlineStr">
        <is>
          <t>Pending</t>
        </is>
      </c>
      <c r="E11" s="6" t="inlineStr">
        <is>
          <t>—</t>
        </is>
      </c>
      <c r="F11" s="32" t="n">
        <v>0.92</v>
      </c>
      <c r="G11" s="6" t="inlineStr">
        <is>
          <t>Pending</t>
        </is>
      </c>
      <c r="H11" s="6" t="inlineStr">
        <is>
          <t>—</t>
        </is>
      </c>
      <c r="I11" s="41" t="n">
        <v>20134</v>
      </c>
      <c r="J11" s="6" t="inlineStr">
        <is>
          <t>Pending</t>
        </is>
      </c>
      <c r="K11" s="6" t="inlineStr">
        <is>
          <t>90-Day</t>
        </is>
      </c>
      <c r="L11" s="107" t="inlineStr">
        <is>
          <t>PENDING</t>
        </is>
      </c>
      <c r="M11" s="8" t="inlineStr">
        <is>
          <t>Track system performing nominally. Wi-Fi integration stable. No issues to date.</t>
        </is>
      </c>
    </row>
    <row r="12">
      <c r="A12" s="6" t="inlineStr">
        <is>
          <t>EQ-007</t>
        </is>
      </c>
      <c r="B12" s="6" t="inlineStr">
        <is>
          <t>Gas Handling Cabinet — Air Liquide (x4)</t>
        </is>
      </c>
      <c r="C12" s="6" t="inlineStr">
        <is>
          <t>N/A</t>
        </is>
      </c>
      <c r="D12" s="6" t="inlineStr">
        <is>
          <t>Pending</t>
        </is>
      </c>
      <c r="E12" s="6" t="inlineStr">
        <is>
          <t>—</t>
        </is>
      </c>
      <c r="F12" s="32" t="n">
        <v>0.92</v>
      </c>
      <c r="G12" s="6" t="inlineStr">
        <is>
          <t>Pending</t>
        </is>
      </c>
      <c r="H12" s="6" t="inlineStr">
        <is>
          <t>—</t>
        </is>
      </c>
      <c r="I12" s="41" t="n">
        <v>732</v>
      </c>
      <c r="J12" s="6" t="inlineStr">
        <is>
          <t>Pending</t>
        </is>
      </c>
      <c r="K12" s="6" t="inlineStr">
        <is>
          <t>90-Day</t>
        </is>
      </c>
      <c r="L12" s="107" t="inlineStr">
        <is>
          <t>PENDING</t>
        </is>
      </c>
      <c r="M12" s="8" t="inlineStr">
        <is>
          <t>Gas cabinet operational. MFC calibration rotation in schedule. No events.</t>
        </is>
      </c>
    </row>
    <row r="13">
      <c r="A13" s="6" t="inlineStr">
        <is>
          <t>EQ-009</t>
        </is>
      </c>
      <c r="B13" s="6" t="inlineStr">
        <is>
          <t>DCS — Siemens S7-1500 (x5)</t>
        </is>
      </c>
      <c r="C13" s="6" t="inlineStr">
        <is>
          <t>N/A</t>
        </is>
      </c>
      <c r="D13" s="6" t="inlineStr">
        <is>
          <t>Pending</t>
        </is>
      </c>
      <c r="E13" s="6" t="inlineStr">
        <is>
          <t>—</t>
        </is>
      </c>
      <c r="F13" s="32" t="n">
        <v>0.92</v>
      </c>
      <c r="G13" s="6" t="inlineStr">
        <is>
          <t>Pending</t>
        </is>
      </c>
      <c r="H13" s="6" t="inlineStr">
        <is>
          <t>—</t>
        </is>
      </c>
      <c r="I13" s="41" t="n">
        <v>1098</v>
      </c>
      <c r="J13" s="6" t="inlineStr">
        <is>
          <t>Pending</t>
        </is>
      </c>
      <c r="K13" s="6" t="inlineStr">
        <is>
          <t>180-Day</t>
        </is>
      </c>
      <c r="L13" s="107" t="inlineStr">
        <is>
          <t>PENDING</t>
        </is>
      </c>
      <c r="M13" s="8" t="inlineStr">
        <is>
          <t>DCS fully operational. Cybersecurity audit scheduled Month 4.</t>
        </is>
      </c>
    </row>
    <row r="14">
      <c r="A14" s="6" t="inlineStr">
        <is>
          <t>EQ-011</t>
        </is>
      </c>
      <c r="B14" s="6" t="inlineStr">
        <is>
          <t>Dry-Type Transformer (x2)</t>
        </is>
      </c>
      <c r="C14" s="6" t="inlineStr">
        <is>
          <t>N/A</t>
        </is>
      </c>
      <c r="D14" s="6" t="inlineStr">
        <is>
          <t>Pending</t>
        </is>
      </c>
      <c r="E14" s="6" t="inlineStr">
        <is>
          <t>—</t>
        </is>
      </c>
      <c r="F14" s="32" t="n">
        <v>0.99</v>
      </c>
      <c r="G14" s="6" t="inlineStr">
        <is>
          <t>Pending</t>
        </is>
      </c>
      <c r="H14" s="6" t="inlineStr">
        <is>
          <t>—</t>
        </is>
      </c>
      <c r="I14" s="41" t="n">
        <v>0</v>
      </c>
      <c r="J14" s="6" t="inlineStr">
        <is>
          <t>Pending</t>
        </is>
      </c>
      <c r="K14" s="6" t="inlineStr">
        <is>
          <t>180-Day</t>
        </is>
      </c>
      <c r="L14" s="107" t="inlineStr">
        <is>
          <t>PENDING</t>
        </is>
      </c>
      <c r="M14" s="8" t="inlineStr">
        <is>
          <t>Transformer operating within thermal limits. Cooling fans checked. No issues.</t>
        </is>
      </c>
    </row>
    <row r="15">
      <c r="A15" s="6" t="inlineStr">
        <is>
          <t>EQ-012</t>
        </is>
      </c>
      <c r="B15" s="6" t="inlineStr">
        <is>
          <t>Process Chiller — Daikin (x3)</t>
        </is>
      </c>
      <c r="C15" s="6" t="inlineStr">
        <is>
          <t>N/A</t>
        </is>
      </c>
      <c r="D15" s="6" t="inlineStr">
        <is>
          <t>Pending</t>
        </is>
      </c>
      <c r="E15" s="6" t="inlineStr">
        <is>
          <t>—</t>
        </is>
      </c>
      <c r="F15" s="32" t="n">
        <v>0.99</v>
      </c>
      <c r="G15" s="6" t="inlineStr">
        <is>
          <t>Pending</t>
        </is>
      </c>
      <c r="H15" s="6" t="inlineStr">
        <is>
          <t>—</t>
        </is>
      </c>
      <c r="I15" s="41" t="n">
        <v>65525</v>
      </c>
      <c r="J15" s="6" t="inlineStr">
        <is>
          <t>Pending</t>
        </is>
      </c>
      <c r="K15" s="6" t="inlineStr">
        <is>
          <t>180-Day</t>
        </is>
      </c>
      <c r="L15" s="107" t="inlineStr">
        <is>
          <t>PENDING</t>
        </is>
      </c>
      <c r="M15" s="8" t="inlineStr">
        <is>
          <t>Glycol loop stable. Compressor discharge pressure nominal. 180-day checkpoint due.</t>
        </is>
      </c>
    </row>
    <row r="16">
      <c r="A16" s="6" t="inlineStr">
        <is>
          <t>EQ-015</t>
        </is>
      </c>
      <c r="B16" s="6" t="inlineStr">
        <is>
          <t>AMR Fleet — MiR (x10)</t>
        </is>
      </c>
      <c r="C16" s="6" t="inlineStr">
        <is>
          <t>N/A</t>
        </is>
      </c>
      <c r="D16" s="6" t="inlineStr">
        <is>
          <t>Pending</t>
        </is>
      </c>
      <c r="E16" s="6" t="inlineStr">
        <is>
          <t>—</t>
        </is>
      </c>
      <c r="F16" s="32" t="n">
        <v>0.92</v>
      </c>
      <c r="G16" s="6" t="inlineStr">
        <is>
          <t>Pending</t>
        </is>
      </c>
      <c r="H16" s="6" t="inlineStr">
        <is>
          <t>—</t>
        </is>
      </c>
      <c r="I16" s="41" t="n">
        <v>5491</v>
      </c>
      <c r="J16" s="6" t="inlineStr">
        <is>
          <t>Pending</t>
        </is>
      </c>
      <c r="K16" s="6" t="inlineStr">
        <is>
          <t>180-Day</t>
        </is>
      </c>
      <c r="L16" s="107" t="inlineStr">
        <is>
          <t>PENDING</t>
        </is>
      </c>
      <c r="M16" s="8" t="inlineStr">
        <is>
          <t>Fleet routing optimisation Phase 2 scheduled Month 5. Battery health nominal.</t>
        </is>
      </c>
    </row>
    <row r="19" ht="18" customHeight="1">
      <c r="A19" s="105" t="inlineStr">
        <is>
          <t>POST-COMMISSIONING PERFORMANCE SUMMARY</t>
        </is>
      </c>
    </row>
    <row r="20">
      <c r="A20" s="6" t="inlineStr">
        <is>
          <t>Equipment Platforms Tracked</t>
        </is>
      </c>
      <c r="B20" s="49">
        <f>COUNTA(A5:A16)</f>
        <v/>
      </c>
    </row>
    <row r="21">
      <c r="A21" s="6" t="inlineStr">
        <is>
          <t>Platforms with 30-Day Data</t>
        </is>
      </c>
      <c r="B21" s="49">
        <f>COUNTIF(K5:K16,"30-Day")</f>
        <v/>
      </c>
    </row>
    <row r="22">
      <c r="A22" s="6" t="inlineStr">
        <is>
          <t>Platforms Above or On Plan</t>
        </is>
      </c>
      <c r="B22" s="49">
        <f>COUNTIF(L5:L16,"ABOVE PLAN")</f>
        <v/>
      </c>
    </row>
    <row r="23">
      <c r="A23" s="6" t="inlineStr">
        <is>
          <t>Platforms Below Plan</t>
        </is>
      </c>
      <c r="B23" s="49">
        <f>COUNTIF(L5:L16,"BELOW PLAN")</f>
        <v/>
      </c>
    </row>
    <row r="24">
      <c r="A24" s="6" t="inlineStr">
        <is>
          <t>Platforms Pending Data</t>
        </is>
      </c>
      <c r="B24" s="49">
        <f>COUNTIF(L5:L16,"PENDING")</f>
        <v/>
      </c>
    </row>
  </sheetData>
  <mergeCells count="3">
    <mergeCell ref="A2:M2"/>
    <mergeCell ref="A1:M1"/>
    <mergeCell ref="A19:B19"/>
  </mergeCells>
  <pageMargins left="0.75" right="0.75" top="1" bottom="1" header="0.5" footer="0.5"/>
</worksheet>
</file>

<file path=xl/worksheets/sheet34.xml><?xml version="1.0" encoding="utf-8"?>
<worksheet xmlns="http://schemas.openxmlformats.org/spreadsheetml/2006/main">
  <sheetPr>
    <tabColor rgb="00808080"/>
    <outlinePr summaryBelow="1" summaryRight="1"/>
    <pageSetUpPr/>
  </sheetPr>
  <dimension ref="A1:J48"/>
  <sheetViews>
    <sheetView workbookViewId="0">
      <selection activeCell="A1" sqref="A1"/>
    </sheetView>
  </sheetViews>
  <sheetFormatPr baseColWidth="8" defaultRowHeight="15"/>
  <cols>
    <col width="30" customWidth="1" min="1" max="1"/>
    <col width="16" customWidth="1" min="2" max="2"/>
    <col width="4" customWidth="1" min="3" max="3"/>
    <col width="22" customWidth="1" min="4" max="4"/>
    <col width="16" customWidth="1" min="5" max="5"/>
    <col width="30" customWidth="1" min="6" max="6"/>
    <col width="16" customWidth="1" min="7" max="7"/>
    <col width="4" customWidth="1" min="8" max="8"/>
    <col width="22" customWidth="1" min="9" max="9"/>
    <col width="16" customWidth="1" min="10" max="10"/>
  </cols>
  <sheetData>
    <row r="1" ht="26" customHeight="1">
      <c r="A1" s="1" t="inlineStr">
        <is>
          <t>S30 — CAPEX PROGRAM EXECUTIVE DASHBOARD</t>
        </is>
      </c>
    </row>
    <row r="2" ht="15" customHeight="1">
      <c r="A2" s="2" t="inlineStr">
        <is>
          <t>Program: Greenfield Expansion Phase II · Program Manager: Sourabh Tarodekar · AR Reference: AR-2025-0082 · Status as of: 2025-Q3 · All values linked live from program model sheets (S01-S32)</t>
        </is>
      </c>
    </row>
    <row r="4" ht="18" customHeight="1">
      <c r="A4" s="4" t="inlineStr">
        <is>
          <t>KEY PERFORMANCE INDICATORS — PROGRAM SNAPSHOT</t>
        </is>
      </c>
    </row>
    <row r="5">
      <c r="A5" s="108" t="inlineStr">
        <is>
          <t>TOTAL CAPEX PORTFOLIO</t>
        </is>
      </c>
      <c r="B5" s="6" t="n"/>
      <c r="C5" s="108" t="inlineStr">
        <is>
          <t>APPROVED PROGRAM BUDGET</t>
        </is>
      </c>
      <c r="D5" s="6" t="n"/>
      <c r="E5" s="108" t="inlineStr">
        <is>
          <t>10-YR NPV (vs Min-CapEx)</t>
        </is>
      </c>
      <c r="F5" s="6" t="n"/>
      <c r="G5" s="108" t="inlineStr">
        <is>
          <t>ESTIMATED IRR</t>
        </is>
      </c>
      <c r="H5" s="6" t="n"/>
      <c r="I5" s="108" t="inlineStr">
        <is>
          <t>ANNUAL ENERGY COST</t>
        </is>
      </c>
      <c r="J5" s="6" t="n"/>
    </row>
    <row r="6" ht="26" customHeight="1">
      <c r="A6" s="109">
        <f>'S02_Equipment_Portfolio'!B25</f>
        <v/>
      </c>
      <c r="B6" s="6" t="n"/>
      <c r="C6" s="109">
        <f>'S12_AR_Summary'!F27</f>
        <v/>
      </c>
      <c r="D6" s="6" t="n"/>
      <c r="E6" s="109">
        <f>'S12_AR_Summary'!B33</f>
        <v/>
      </c>
      <c r="F6" s="6" t="n"/>
      <c r="G6" s="110">
        <f>'S12_AR_Summary'!B34</f>
        <v/>
      </c>
      <c r="H6" s="6" t="n"/>
      <c r="I6" s="109">
        <f>'S02_Equipment_Portfolio'!Q20</f>
        <v/>
      </c>
      <c r="J6" s="6" t="n"/>
    </row>
    <row r="7">
      <c r="A7" s="29" t="inlineStr">
        <is>
          <t>Equipment + Installation (USD)</t>
        </is>
      </c>
      <c r="B7" s="6" t="n"/>
      <c r="C7" s="29" t="inlineStr">
        <is>
          <t>Incl. contingency + FX reserve (USD)</t>
        </is>
      </c>
      <c r="D7" s="6" t="n"/>
      <c r="E7" s="29" t="inlineStr">
        <is>
          <t>Scenario B vs A — 8% WACC (USD)</t>
        </is>
      </c>
      <c r="F7" s="6" t="n"/>
      <c r="G7" s="29" t="inlineStr">
        <is>
          <t>10-yr, vs 8.0% hurdle rate</t>
        </is>
      </c>
      <c r="H7" s="6" t="n"/>
      <c r="I7" s="29" t="inlineStr">
        <is>
          <t>Full portfolio (USD/yr)</t>
        </is>
      </c>
      <c r="J7" s="6" t="n"/>
    </row>
    <row r="9">
      <c r="A9" s="108" t="inlineStr">
        <is>
          <t>ANNUAL PRODUCTION CAPACITY</t>
        </is>
      </c>
      <c r="B9" s="6" t="n"/>
      <c r="C9" s="108" t="inlineStr">
        <is>
          <t>BASELINE UTILIZATION</t>
        </is>
      </c>
      <c r="D9" s="6" t="n"/>
      <c r="E9" s="108" t="inlineStr">
        <is>
          <t>SUPPLY CHAIN RISK INDEX</t>
        </is>
      </c>
      <c r="F9" s="6" t="n"/>
      <c r="G9" s="108" t="inlineStr">
        <is>
          <t>PROGRAM % COMPLETE</t>
        </is>
      </c>
      <c r="H9" s="6" t="n"/>
      <c r="I9" s="108" t="inlineStr">
        <is>
          <t>OPEN PROGRAM BLOCKERS</t>
        </is>
      </c>
      <c r="J9" s="6" t="n"/>
    </row>
    <row r="10" ht="26" customHeight="1">
      <c r="A10" s="111">
        <f>'S10_Capacity_Planning'!B31</f>
        <v/>
      </c>
      <c r="B10" s="6" t="n"/>
      <c r="C10" s="110">
        <f>750000/'S10_Capacity_Planning'!B31</f>
        <v/>
      </c>
      <c r="D10" s="6" t="n"/>
      <c r="E10" s="112">
        <f>'S03_Supplier_Dataset'!B26</f>
        <v/>
      </c>
      <c r="F10" s="6" t="n"/>
      <c r="G10" s="110">
        <f>'S25_Milestone_Gate_Tracker'!B44</f>
        <v/>
      </c>
      <c r="H10" s="6" t="n"/>
      <c r="I10" s="111">
        <f>'S25_Milestone_Gate_Tracker'!B46</f>
        <v/>
      </c>
      <c r="J10" s="6" t="n"/>
    </row>
    <row r="11">
      <c r="A11" s="29" t="inlineStr">
        <is>
          <t>Process tools (units/yr)</t>
        </is>
      </c>
      <c r="B11" s="6" t="n"/>
      <c r="C11" s="29" t="inlineStr">
        <is>
          <t>Baseline Demand / Capacity</t>
        </is>
      </c>
      <c r="D11" s="6" t="n"/>
      <c r="E11" s="29" t="inlineStr">
        <is>
          <t>Avg Composite Risk Score</t>
        </is>
      </c>
      <c r="F11" s="6" t="n"/>
      <c r="G11" s="29" t="inlineStr">
        <is>
          <t>Avg milestone completion</t>
        </is>
      </c>
      <c r="H11" s="6" t="n"/>
      <c r="I11" s="29" t="inlineStr">
        <is>
          <t>Across all gates</t>
        </is>
      </c>
      <c r="J11" s="6" t="n"/>
    </row>
    <row r="14" ht="18" customHeight="1">
      <c r="A14" s="83" t="inlineStr">
        <is>
          <t>CAPEX &amp; FINANCIAL METRICS</t>
        </is>
      </c>
      <c r="F14" s="83" t="inlineStr">
        <is>
          <t>SUPPLY CHAIN &amp; SUPPLIER RISK</t>
        </is>
      </c>
    </row>
    <row r="15" ht="30" customHeight="1">
      <c r="A15" s="84" t="inlineStr">
        <is>
          <t>Metric</t>
        </is>
      </c>
      <c r="B15" s="84" t="inlineStr">
        <is>
          <t>Value</t>
        </is>
      </c>
      <c r="C15" s="84" t="inlineStr">
        <is>
          <t>Source Sheet</t>
        </is>
      </c>
      <c r="F15" s="84" t="inlineStr">
        <is>
          <t>Metric</t>
        </is>
      </c>
      <c r="G15" s="84" t="inlineStr">
        <is>
          <t>Value</t>
        </is>
      </c>
      <c r="H15" s="84" t="inlineStr">
        <is>
          <t>Source Sheet</t>
        </is>
      </c>
    </row>
    <row r="16">
      <c r="A16" s="6" t="inlineStr">
        <is>
          <t>Total Equipment Purchase Cost</t>
        </is>
      </c>
      <c r="B16" s="31">
        <f>'S02_Equipment_Portfolio'!I20</f>
        <v/>
      </c>
      <c r="C16" s="6" t="n"/>
      <c r="D16" s="6" t="inlineStr">
        <is>
          <t>S02_Equipment_Portfolio</t>
        </is>
      </c>
      <c r="F16" s="6" t="inlineStr">
        <is>
          <t>Avg Supplier Lead Time (wks)</t>
        </is>
      </c>
      <c r="G16" s="33">
        <f>'S03_Supplier_Dataset'!B23</f>
        <v/>
      </c>
      <c r="H16" s="6" t="n"/>
      <c r="I16" s="6" t="inlineStr">
        <is>
          <t>S03 — Current market avg</t>
        </is>
      </c>
    </row>
    <row r="17">
      <c r="A17" s="6" t="inlineStr">
        <is>
          <t>Total Installation Cost</t>
        </is>
      </c>
      <c r="B17" s="31">
        <f>'S02_Equipment_Portfolio'!K20</f>
        <v/>
      </c>
      <c r="C17" s="6" t="n"/>
      <c r="D17" s="6" t="inlineStr">
        <is>
          <t>S02_Equipment_Portfolio</t>
        </is>
      </c>
      <c r="F17" s="6" t="inlineStr">
        <is>
          <t>Avg Lead Time Delta vs Standard (wks)</t>
        </is>
      </c>
      <c r="G17" s="33">
        <f>'S03_Supplier_Dataset'!B24</f>
        <v/>
      </c>
      <c r="H17" s="6" t="n"/>
      <c r="I17" s="6" t="inlineStr">
        <is>
          <t>S03 — Market vs standard LT</t>
        </is>
      </c>
    </row>
    <row r="18">
      <c r="A18" s="6" t="inlineStr">
        <is>
          <t>Total CapEx (Equip + Install)</t>
        </is>
      </c>
      <c r="B18" s="31">
        <f>'S02_Equipment_Portfolio'!B25</f>
        <v/>
      </c>
      <c r="C18" s="6" t="n"/>
      <c r="D18" s="6" t="inlineStr">
        <is>
          <t>S02 — Formula</t>
        </is>
      </c>
      <c r="F18" s="6" t="inlineStr">
        <is>
          <t>Avg Supplier Reliability Score</t>
        </is>
      </c>
      <c r="G18" s="33">
        <f>'S03_Supplier_Dataset'!B25</f>
        <v/>
      </c>
      <c r="H18" s="6" t="n"/>
      <c r="I18" s="6" t="inlineStr">
        <is>
          <t>S03 — 100-point scale</t>
        </is>
      </c>
    </row>
    <row r="19">
      <c r="A19" s="6" t="inlineStr">
        <is>
          <t>Contingency Reserve (10%)</t>
        </is>
      </c>
      <c r="B19" s="31">
        <f>'S12_AR_Summary'!F24</f>
        <v/>
      </c>
      <c r="C19" s="6" t="n"/>
      <c r="D19" s="6" t="inlineStr">
        <is>
          <t>S12_AR_Summary</t>
        </is>
      </c>
      <c r="F19" s="6" t="inlineStr">
        <is>
          <t>Avg Composite Risk Score</t>
        </is>
      </c>
      <c r="G19" s="33">
        <f>'S03_Supplier_Dataset'!B26</f>
        <v/>
      </c>
      <c r="H19" s="6" t="n"/>
      <c r="I19" s="6" t="inlineStr">
        <is>
          <t>S03 — Risk Score formula</t>
        </is>
      </c>
    </row>
    <row r="20">
      <c r="A20" s="6" t="inlineStr">
        <is>
          <t>FX Hedge Reserve</t>
        </is>
      </c>
      <c r="B20" s="31">
        <f>'S12_AR_Summary'!F25</f>
        <v/>
      </c>
      <c r="C20" s="6" t="n"/>
      <c r="D20" s="6" t="inlineStr">
        <is>
          <t>S12_AR_Summary</t>
        </is>
      </c>
      <c r="F20" s="6" t="inlineStr">
        <is>
          <t>Max Risk Score (Worst Supplier)</t>
        </is>
      </c>
      <c r="G20" s="33">
        <f>'S03_Supplier_Dataset'!B27</f>
        <v/>
      </c>
      <c r="H20" s="6" t="n"/>
      <c r="I20" s="6" t="inlineStr">
        <is>
          <t>S03 — Highest risk item</t>
        </is>
      </c>
    </row>
    <row r="21">
      <c r="A21" s="6" t="inlineStr">
        <is>
          <t>NRE + Program Management</t>
        </is>
      </c>
      <c r="B21" s="31">
        <f>'S12_AR_Summary'!F26</f>
        <v/>
      </c>
      <c r="C21" s="6" t="n"/>
      <c r="D21" s="6" t="inlineStr">
        <is>
          <t>S12_AR_Summary</t>
        </is>
      </c>
      <c r="F21" s="6" t="inlineStr">
        <is>
          <t>Single-Source Components</t>
        </is>
      </c>
      <c r="G21" s="66">
        <f>'S03_Supplier_Dataset'!B28</f>
        <v/>
      </c>
      <c r="H21" s="6" t="n"/>
      <c r="I21" s="6" t="inlineStr">
        <is>
          <t>S03 — RED flag items</t>
        </is>
      </c>
    </row>
    <row r="22">
      <c r="A22" s="6" t="inlineStr">
        <is>
          <t>TOTAL APPROVED BUDGET</t>
        </is>
      </c>
      <c r="B22" s="31">
        <f>'S12_AR_Summary'!F27</f>
        <v/>
      </c>
      <c r="C22" s="6" t="n"/>
      <c r="D22" s="6" t="inlineStr">
        <is>
          <t>S12_AR_Summary</t>
        </is>
      </c>
      <c r="F22" s="6" t="inlineStr">
        <is>
          <t>HIGH Risk Tier Suppliers</t>
        </is>
      </c>
      <c r="G22" s="66">
        <f>'S03_Supplier_Dataset'!B30</f>
        <v/>
      </c>
      <c r="H22" s="6" t="n"/>
      <c r="I22" s="6" t="inlineStr">
        <is>
          <t>S03 — Weekly exec review</t>
        </is>
      </c>
    </row>
    <row r="23">
      <c r="A23" s="6" t="inlineStr">
        <is>
          <t>10-Yr NPV vs Min-CapEx (Sc B-A)</t>
        </is>
      </c>
      <c r="B23" s="31">
        <f>'S12_AR_Summary'!B33</f>
        <v/>
      </c>
      <c r="C23" s="6" t="n"/>
      <c r="D23" s="6" t="inlineStr">
        <is>
          <t>S13_Scenario_Analysis</t>
        </is>
      </c>
      <c r="F23" s="6" t="inlineStr">
        <is>
          <t>CRITICAL Risk Items (S16 model)</t>
        </is>
      </c>
      <c r="G23" s="66">
        <f>COUNTIF('S16_Supply_Chain_Risk'!J5:'S16_Supply_Chain_Risk'!J23,"CRITICAL")</f>
        <v/>
      </c>
      <c r="H23" s="6" t="n"/>
      <c r="I23" s="6" t="inlineStr">
        <is>
          <t>S16 — Escalated items</t>
        </is>
      </c>
    </row>
    <row r="24">
      <c r="A24" s="6" t="inlineStr">
        <is>
          <t>Estimated IRR (10-yr)</t>
        </is>
      </c>
      <c r="B24" s="32">
        <f>'S12_AR_Summary'!B34</f>
        <v/>
      </c>
      <c r="C24" s="6" t="n"/>
      <c r="D24" s="6" t="inlineStr">
        <is>
          <t>S13_Scenario_Analysis</t>
        </is>
      </c>
      <c r="F24" s="6" t="inlineStr">
        <is>
          <t>HIGH Risk Items (S16 model)</t>
        </is>
      </c>
      <c r="G24" s="66">
        <f>COUNTIF('S16_Supply_Chain_Risk'!J5:'S16_Supply_Chain_Risk'!J23,"HIGH")</f>
        <v/>
      </c>
      <c r="H24" s="6" t="n"/>
      <c r="I24" s="6" t="inlineStr">
        <is>
          <t>S16 — Senior mgr review</t>
        </is>
      </c>
    </row>
    <row r="25">
      <c r="A25" s="6" t="inlineStr">
        <is>
          <t>Payback Period (yrs)</t>
        </is>
      </c>
      <c r="B25" s="33" t="n">
        <v>4.2</v>
      </c>
      <c r="C25" s="6" t="n"/>
      <c r="D25" s="6" t="inlineStr">
        <is>
          <t>S13_Scenario_Analysis</t>
        </is>
      </c>
      <c r="F25" s="6" t="inlineStr">
        <is>
          <t>Components with Buffer Stock</t>
        </is>
      </c>
      <c r="G25" s="66">
        <f>COUNTIF('S16_Supply_Chain_Risk'!L5:'S16_Supply_Chain_Risk'!L23,"Yes")</f>
        <v/>
      </c>
      <c r="H25" s="6" t="n"/>
      <c r="I25" s="6" t="inlineStr">
        <is>
          <t>S16 — In-stock safety items</t>
        </is>
      </c>
    </row>
    <row r="27" ht="18" customHeight="1">
      <c r="A27" s="74" t="inlineStr">
        <is>
          <t>CAPACITY &amp; EQUIPMENT PERFORMANCE</t>
        </is>
      </c>
      <c r="F27" s="74" t="inlineStr">
        <is>
          <t>PROGRAM SCHEDULE &amp; CONTROL</t>
        </is>
      </c>
    </row>
    <row r="28" ht="30" customHeight="1">
      <c r="A28" s="70" t="inlineStr">
        <is>
          <t>Metric</t>
        </is>
      </c>
      <c r="B28" s="70" t="inlineStr">
        <is>
          <t>Value</t>
        </is>
      </c>
      <c r="C28" s="70" t="inlineStr">
        <is>
          <t>Source Sheet</t>
        </is>
      </c>
      <c r="F28" s="70" t="inlineStr">
        <is>
          <t>Metric</t>
        </is>
      </c>
      <c r="G28" s="70" t="inlineStr">
        <is>
          <t>Value</t>
        </is>
      </c>
      <c r="H28" s="70" t="inlineStr">
        <is>
          <t>Source Sheet</t>
        </is>
      </c>
    </row>
    <row r="29">
      <c r="A29" s="6" t="inlineStr">
        <is>
          <t>Total Equipment Platforms</t>
        </is>
      </c>
      <c r="B29" s="66">
        <f>'S02_Equipment_Portfolio'!B27</f>
        <v/>
      </c>
      <c r="C29" s="6" t="n"/>
      <c r="D29" s="6" t="inlineStr">
        <is>
          <t>S02 — Full portfolio</t>
        </is>
      </c>
      <c r="F29" s="6" t="inlineStr">
        <is>
          <t>Critical Path Duration (weeks)</t>
        </is>
      </c>
      <c r="G29" s="66">
        <f>MAX('S07_CPM_Master_Schedule'!H5:'S07_CPM_Master_Schedule'!H43)</f>
        <v/>
      </c>
      <c r="H29" s="6" t="n"/>
      <c r="I29" s="6" t="inlineStr">
        <is>
          <t>S07 — Max EF</t>
        </is>
      </c>
    </row>
    <row r="30">
      <c r="A30" s="6" t="inlineStr">
        <is>
          <t>Annual Production Capacity</t>
        </is>
      </c>
      <c r="B30" s="66">
        <f>'S10_Capacity_Planning'!B31</f>
        <v/>
      </c>
      <c r="C30" s="6" t="n"/>
      <c r="D30" s="6" t="inlineStr">
        <is>
          <t>S10 — Process tools only</t>
        </is>
      </c>
      <c r="F30" s="6" t="inlineStr">
        <is>
          <t>Critical Path Items</t>
        </is>
      </c>
      <c r="G30" s="66">
        <f>COUNTIF('S07_CPM_Master_Schedule'!L5:'S07_CPM_Master_Schedule'!L43,0)</f>
        <v/>
      </c>
      <c r="H30" s="6" t="n"/>
      <c r="I30" s="6" t="inlineStr">
        <is>
          <t>S07 — Zero float items</t>
        </is>
      </c>
    </row>
    <row r="31">
      <c r="A31" s="6" t="inlineStr">
        <is>
          <t>Baseline Demand</t>
        </is>
      </c>
      <c r="B31" s="66" t="n">
        <v>750000</v>
      </c>
      <c r="C31" s="6" t="n"/>
      <c r="D31" s="6" t="inlineStr">
        <is>
          <t>S11 — Current program target</t>
        </is>
      </c>
      <c r="F31" s="6" t="inlineStr">
        <is>
          <t>HIGH/CRITICAL Risk Deploy. Items</t>
        </is>
      </c>
      <c r="G31" s="66">
        <f>COUNTIF('S09_Deployment_Timeline'!P5:'S09_Deployment_Timeline'!P19,"HIGH")+COUNTIF('S09_Deployment_Timeline'!P5:'S09_Deployment_Timeline'!P19,"CRITICAL")</f>
        <v/>
      </c>
      <c r="H31" s="6" t="n"/>
      <c r="I31" s="6" t="inlineStr">
        <is>
          <t>S09 — Risk-flagged equip.</t>
        </is>
      </c>
    </row>
    <row r="32">
      <c r="A32" s="6" t="inlineStr">
        <is>
          <t>Baseline Utilization</t>
        </is>
      </c>
      <c r="B32" s="32">
        <f>750000/'S10_Capacity_Planning'!B31</f>
        <v/>
      </c>
      <c r="C32" s="6" t="n"/>
      <c r="D32" s="6" t="inlineStr">
        <is>
          <t>S10 — Demand / Capacity</t>
        </is>
      </c>
      <c r="F32" s="6" t="inlineStr">
        <is>
          <t>Total Milestones</t>
        </is>
      </c>
      <c r="G32" s="66">
        <f>COUNTA('S25_Milestone_Gate_Tracker'!A16:'S25_Milestone_Gate_Tracker'!A36)</f>
        <v/>
      </c>
      <c r="H32" s="6" t="n"/>
      <c r="I32" s="6" t="inlineStr">
        <is>
          <t>S25 — Full program scope</t>
        </is>
      </c>
    </row>
    <row r="33">
      <c r="A33" s="6" t="inlineStr">
        <is>
          <t>Capacity Cushion (units/yr)</t>
        </is>
      </c>
      <c r="B33" s="66">
        <f>'S10_Capacity_Planning'!B33</f>
        <v/>
      </c>
      <c r="C33" s="6" t="n"/>
      <c r="D33" s="6" t="inlineStr">
        <is>
          <t>S10 — Headroom above demand</t>
        </is>
      </c>
      <c r="F33" s="6" t="inlineStr">
        <is>
          <t>Milestones Complete</t>
        </is>
      </c>
      <c r="G33" s="66">
        <f>COUNTIF('S25_Milestone_Gate_Tracker'!I16:'S25_Milestone_Gate_Tracker'!I36,"COMPLETE")</f>
        <v/>
      </c>
      <c r="H33" s="6" t="n"/>
      <c r="I33" s="6" t="inlineStr">
        <is>
          <t>S25 — Formally closed</t>
        </is>
      </c>
    </row>
    <row r="34">
      <c r="A34" s="6" t="inlineStr">
        <is>
          <t>Surge Demand Scenario (+20%)</t>
        </is>
      </c>
      <c r="B34" s="66" t="n">
        <v>900000</v>
      </c>
      <c r="C34" s="6" t="n"/>
      <c r="D34" s="6" t="inlineStr">
        <is>
          <t>S11 — Stress test</t>
        </is>
      </c>
      <c r="F34" s="6" t="inlineStr">
        <is>
          <t>Milestones At Risk or Blocked</t>
        </is>
      </c>
      <c r="G34" s="66">
        <f>'S25_Milestone_Gate_Tracker'!B43</f>
        <v/>
      </c>
      <c r="H34" s="6" t="n"/>
      <c r="I34" s="6" t="inlineStr">
        <is>
          <t>S25 — Require PM action</t>
        </is>
      </c>
    </row>
    <row r="35">
      <c r="A35" s="6" t="inlineStr">
        <is>
          <t>Annual Energy Cost (all equip.)</t>
        </is>
      </c>
      <c r="B35" s="31">
        <f>'S02_Equipment_Portfolio'!Q20</f>
        <v/>
      </c>
      <c r="C35" s="6" t="n"/>
      <c r="D35" s="6" t="inlineStr">
        <is>
          <t>S02 — Formula linked</t>
        </is>
      </c>
      <c r="F35" s="6" t="inlineStr">
        <is>
          <t>Gates Formally Approved</t>
        </is>
      </c>
      <c r="G35" s="66">
        <f>'S25_Milestone_Gate_Tracker'!B45</f>
        <v/>
      </c>
      <c r="H35" s="6" t="n"/>
      <c r="I35" s="6" t="inlineStr">
        <is>
          <t>S25 — G0-G5 gates</t>
        </is>
      </c>
    </row>
    <row r="36">
      <c r="A36" s="6" t="inlineStr">
        <is>
          <t>Total Spare Parts Inventory Value</t>
        </is>
      </c>
      <c r="B36" s="6" t="inlineStr">
        <is>
          <t>$124,200</t>
        </is>
      </c>
      <c r="C36" s="6" t="n"/>
      <c r="D36" s="6" t="inlineStr">
        <is>
          <t>S23 — Stock x unit cost</t>
        </is>
      </c>
      <c r="F36" s="6" t="inlineStr">
        <is>
          <t>Open Blockers Across All Gates</t>
        </is>
      </c>
      <c r="G36" s="66">
        <f>'S25_Milestone_Gate_Tracker'!B46</f>
        <v/>
      </c>
      <c r="H36" s="6" t="n"/>
      <c r="I36" s="6" t="inlineStr">
        <is>
          <t>S25 — Must = 0 before gate</t>
        </is>
      </c>
    </row>
    <row r="38" ht="18" customHeight="1">
      <c r="A38" s="4" t="inlineStr">
        <is>
          <t>PROGRAM HEALTH SCORECARD</t>
        </is>
      </c>
    </row>
    <row r="39" ht="30" customHeight="1">
      <c r="A39" s="5" t="inlineStr">
        <is>
          <t>Health Dimension</t>
        </is>
      </c>
      <c r="B39" s="5" t="inlineStr">
        <is>
          <t>Current Value</t>
        </is>
      </c>
      <c r="C39" s="5" t="inlineStr">
        <is>
          <t>Target / Threshold</t>
        </is>
      </c>
      <c r="D39" s="5" t="inlineStr">
        <is>
          <t>RAG Status</t>
        </is>
      </c>
      <c r="E39" s="5" t="inlineStr">
        <is>
          <t>Action Required</t>
        </is>
      </c>
    </row>
    <row r="40">
      <c r="A40" s="6" t="inlineStr">
        <is>
          <t>Budget Control</t>
        </is>
      </c>
      <c r="B40" s="32" t="n">
        <v>0.058</v>
      </c>
      <c r="C40" s="6" t="inlineStr">
        <is>
          <t>&lt;50% contingency used</t>
        </is>
      </c>
      <c r="D40" s="46" t="inlineStr">
        <is>
          <t>AMBER</t>
        </is>
      </c>
      <c r="E40" s="8" t="inlineStr">
        <is>
          <t>Monitor change requests; contingency intact at ~5.8% used</t>
        </is>
      </c>
      <c r="F40" s="6" t="n"/>
      <c r="G40" s="6" t="n"/>
      <c r="H40" s="6" t="n"/>
      <c r="I40" s="6" t="n"/>
      <c r="J40" s="6" t="n"/>
    </row>
    <row r="41">
      <c r="A41" s="6" t="inlineStr">
        <is>
          <t>CapEx Financial Return (NPV)</t>
        </is>
      </c>
      <c r="B41" s="31">
        <f>'S12_AR_Summary'!B33</f>
        <v/>
      </c>
      <c r="C41" s="6" t="inlineStr">
        <is>
          <t>&gt;$5M NPV vs Min-CapEx</t>
        </is>
      </c>
      <c r="D41" s="40" t="inlineStr">
        <is>
          <t>GREEN</t>
        </is>
      </c>
      <c r="E41" s="8" t="inlineStr">
        <is>
          <t>No action — Scenario B NPV confirmed by Finance model</t>
        </is>
      </c>
      <c r="F41" s="6" t="n"/>
      <c r="G41" s="6" t="n"/>
      <c r="H41" s="6" t="n"/>
      <c r="I41" s="6" t="n"/>
      <c r="J41" s="6" t="n"/>
    </row>
    <row r="42">
      <c r="A42" s="6" t="inlineStr">
        <is>
          <t>Supply Chain Risk</t>
        </is>
      </c>
      <c r="B42" s="33">
        <f>'S03_Supplier_Dataset'!B26</f>
        <v/>
      </c>
      <c r="C42" s="6" t="inlineStr">
        <is>
          <t>Avg Risk Score &lt; 10</t>
        </is>
      </c>
      <c r="D42" s="46" t="inlineStr">
        <is>
          <t>AMBER</t>
        </is>
      </c>
      <c r="E42" s="8" t="inlineStr">
        <is>
          <t>EQ-002 Pfeiffer single-source CRITICAL — alt vendor qual underway; escalate weekly</t>
        </is>
      </c>
      <c r="F42" s="6" t="n"/>
      <c r="G42" s="6" t="n"/>
      <c r="H42" s="6" t="n"/>
      <c r="I42" s="6" t="n"/>
      <c r="J42" s="6" t="n"/>
    </row>
    <row r="43">
      <c r="A43" s="6" t="inlineStr">
        <is>
          <t>Schedule / Critical Path</t>
        </is>
      </c>
      <c r="B43" s="66">
        <f>COUNTIF('S07_CPM_Master_Schedule'!L5:'S07_CPM_Master_Schedule'!L43,0)</f>
        <v/>
      </c>
      <c r="C43" s="6" t="inlineStr">
        <is>
          <t>&lt;2 zero-float items</t>
        </is>
      </c>
      <c r="D43" s="73" t="inlineStr">
        <is>
          <t>RED</t>
        </is>
      </c>
      <c r="E43" s="8" t="inlineStr">
        <is>
          <t>Multiple items with zero float; daily PM tracking required</t>
        </is>
      </c>
      <c r="F43" s="6" t="n"/>
      <c r="G43" s="6" t="n"/>
      <c r="H43" s="6" t="n"/>
      <c r="I43" s="6" t="n"/>
      <c r="J43" s="6" t="n"/>
    </row>
    <row r="44">
      <c r="A44" s="6" t="inlineStr">
        <is>
          <t>Capacity Headroom</t>
        </is>
      </c>
      <c r="B44" s="32">
        <f>750000/'S10_Capacity_Planning'!B31</f>
        <v/>
      </c>
      <c r="C44" s="6" t="inlineStr">
        <is>
          <t>Utilization &lt; 90%</t>
        </is>
      </c>
      <c r="D44" s="40" t="inlineStr">
        <is>
          <t>GREEN</t>
        </is>
      </c>
      <c r="E44" s="8" t="inlineStr">
        <is>
          <t>Baseline utilization well below threshold; adequate headroom</t>
        </is>
      </c>
      <c r="F44" s="6" t="n"/>
      <c r="G44" s="6" t="n"/>
      <c r="H44" s="6" t="n"/>
      <c r="I44" s="6" t="n"/>
      <c r="J44" s="6" t="n"/>
    </row>
    <row r="45">
      <c r="A45" s="6" t="inlineStr">
        <is>
          <t>Program Milestone Progress</t>
        </is>
      </c>
      <c r="B45" s="32">
        <f>'S25_Milestone_Gate_Tracker'!B44</f>
        <v/>
      </c>
      <c r="C45" s="6" t="inlineStr">
        <is>
          <t>&gt;30% complete by Wk 10</t>
        </is>
      </c>
      <c r="D45" s="46" t="inlineStr">
        <is>
          <t>AMBER</t>
        </is>
      </c>
      <c r="E45" s="8" t="inlineStr">
        <is>
          <t>Milestones at risk require PM attention; others tracking to plan</t>
        </is>
      </c>
      <c r="F45" s="6" t="n"/>
      <c r="G45" s="6" t="n"/>
      <c r="H45" s="6" t="n"/>
      <c r="I45" s="6" t="n"/>
      <c r="J45" s="6" t="n"/>
    </row>
    <row r="46">
      <c r="A46" s="6" t="inlineStr">
        <is>
          <t>Yield / OEE Performance</t>
        </is>
      </c>
      <c r="B46" s="32">
        <f>'S28_Yield_Production_Metrics'!B21</f>
        <v/>
      </c>
      <c r="C46" s="6" t="inlineStr">
        <is>
          <t>OEE &gt;= ~86% target</t>
        </is>
      </c>
      <c r="D46" s="40" t="inlineStr">
        <is>
          <t>GREEN</t>
        </is>
      </c>
      <c r="E46" s="8" t="inlineStr">
        <is>
          <t>Process tools performing at or above OEE target</t>
        </is>
      </c>
      <c r="F46" s="6" t="n"/>
      <c r="G46" s="6" t="n"/>
      <c r="H46" s="6" t="n"/>
      <c r="I46" s="6" t="n"/>
      <c r="J46" s="6" t="n"/>
    </row>
    <row r="48">
      <c r="A48" s="113" t="inlineStr">
        <is>
          <t>CapEx Program Management Model · All KPIs linked live from S01-S32 · Model prepared by: Sourabh Tarodekar, Program Manager · Workbook contains 33 sheets across 6 zones, 15 equipment platforms · For Finance / Engineering Leadership use only · CONFIDENTIAL</t>
        </is>
      </c>
    </row>
  </sheetData>
  <mergeCells count="46">
    <mergeCell ref="C6:D6"/>
    <mergeCell ref="I6:J6"/>
    <mergeCell ref="F27:I27"/>
    <mergeCell ref="A11:B11"/>
    <mergeCell ref="G11:H11"/>
    <mergeCell ref="C5:D5"/>
    <mergeCell ref="E40:J40"/>
    <mergeCell ref="I11:J11"/>
    <mergeCell ref="E5:F5"/>
    <mergeCell ref="A4:J4"/>
    <mergeCell ref="A38:J38"/>
    <mergeCell ref="A6:B6"/>
    <mergeCell ref="F14:I14"/>
    <mergeCell ref="E46:J46"/>
    <mergeCell ref="C10:D10"/>
    <mergeCell ref="A7:B7"/>
    <mergeCell ref="G7:H7"/>
    <mergeCell ref="E10:F10"/>
    <mergeCell ref="I7:J7"/>
    <mergeCell ref="G10:H10"/>
    <mergeCell ref="E45:J45"/>
    <mergeCell ref="A48:J48"/>
    <mergeCell ref="G6:H6"/>
    <mergeCell ref="C9:D9"/>
    <mergeCell ref="E9:F9"/>
    <mergeCell ref="A1:J1"/>
    <mergeCell ref="E41:J41"/>
    <mergeCell ref="E6:F6"/>
    <mergeCell ref="C11:D11"/>
    <mergeCell ref="E11:F11"/>
    <mergeCell ref="A5:B5"/>
    <mergeCell ref="G5:H5"/>
    <mergeCell ref="I5:J5"/>
    <mergeCell ref="E43:J43"/>
    <mergeCell ref="A27:D27"/>
    <mergeCell ref="C7:D7"/>
    <mergeCell ref="E42:J42"/>
    <mergeCell ref="E7:F7"/>
    <mergeCell ref="I10:J10"/>
    <mergeCell ref="A10:B10"/>
    <mergeCell ref="A2:J2"/>
    <mergeCell ref="A9:B9"/>
    <mergeCell ref="G9:H9"/>
    <mergeCell ref="E44:J44"/>
    <mergeCell ref="I9:J9"/>
    <mergeCell ref="A14:D14"/>
  </mergeCells>
  <pageMargins left="0.75" right="0.75" top="1" bottom="1" header="0.5" footer="0.5"/>
</worksheet>
</file>

<file path=xl/worksheets/sheet35.xml><?xml version="1.0" encoding="utf-8"?>
<worksheet xmlns="http://schemas.openxmlformats.org/spreadsheetml/2006/main">
  <sheetPr>
    <tabColor rgb="00C0392B"/>
    <outlinePr summaryBelow="1" summaryRight="1"/>
    <pageSetUpPr/>
  </sheetPr>
  <dimension ref="A1:N40"/>
  <sheetViews>
    <sheetView workbookViewId="0">
      <pane ySplit="14" topLeftCell="A15" activePane="bottomLeft" state="frozen"/>
      <selection pane="bottomLeft" activeCell="A1" sqref="A1"/>
    </sheetView>
  </sheetViews>
  <sheetFormatPr baseColWidth="8" defaultRowHeight="15"/>
  <cols>
    <col width="26" customWidth="1" min="1" max="1"/>
    <col width="10" customWidth="1" min="2" max="2"/>
    <col width="8" customWidth="1" min="3" max="3"/>
    <col width="22" customWidth="1" min="4" max="4"/>
    <col width="11" customWidth="1" min="5" max="5"/>
    <col width="11" customWidth="1" min="6" max="6"/>
    <col width="12" customWidth="1" min="7" max="7"/>
    <col width="11" customWidth="1" min="8" max="8"/>
    <col width="14" customWidth="1" min="9" max="9"/>
    <col width="15" customWidth="1" min="10" max="10"/>
    <col width="15" customWidth="1" min="11" max="11"/>
    <col width="12" customWidth="1" min="12" max="12"/>
    <col width="13" customWidth="1" min="13" max="13"/>
    <col width="50" customWidth="1" min="14" max="14"/>
  </cols>
  <sheetData>
    <row r="1" ht="26" customHeight="1">
      <c r="A1" s="104" t="inlineStr">
        <is>
          <t>S31 — Vendor Scorecard &amp; Qualification Status — CapEx Equipment Suppliers</t>
        </is>
      </c>
    </row>
    <row r="2" ht="15" customHeight="1">
      <c r="A2" s="2" t="inlineStr">
        <is>
          <t>Scores suppliers on delivery, quality, commercial, technical, and support dimensions | Qualification stage tracks RFI -&gt; RFQ -&gt; AVL (Approved Vendor List) | Inputs in BLUE</t>
        </is>
      </c>
    </row>
    <row r="4" ht="18" customHeight="1">
      <c r="A4" s="105" t="inlineStr">
        <is>
          <t>SCORING DIMENSION WEIGHTS</t>
        </is>
      </c>
    </row>
    <row r="5" ht="30" customHeight="1">
      <c r="A5" s="106" t="inlineStr">
        <is>
          <t>Dimension</t>
        </is>
      </c>
      <c r="B5" s="106" t="inlineStr">
        <is>
          <t>Weight</t>
        </is>
      </c>
      <c r="C5" s="106" t="inlineStr">
        <is>
          <t>Description</t>
        </is>
      </c>
    </row>
    <row r="6">
      <c r="A6" s="6" t="inlineStr">
        <is>
          <t>Delivery Performance (On-Time %)</t>
        </is>
      </c>
      <c r="B6" s="47" t="n">
        <v>0.25</v>
      </c>
      <c r="C6" s="8" t="inlineStr">
        <is>
          <t>Historical on-time delivery rate vs committed dates</t>
        </is>
      </c>
    </row>
    <row r="7">
      <c r="A7" s="6" t="inlineStr">
        <is>
          <t>Quality (Defect Rate / FAT Pass Rate)</t>
        </is>
      </c>
      <c r="B7" s="47" t="n">
        <v>0.2</v>
      </c>
      <c r="C7" s="8" t="inlineStr">
        <is>
          <t>First-pass FAT acceptance rate; incoming inspection defect rate</t>
        </is>
      </c>
    </row>
    <row r="8">
      <c r="A8" s="6" t="inlineStr">
        <is>
          <t>Commercial (Pricing Competitiveness)</t>
        </is>
      </c>
      <c r="B8" s="47" t="n">
        <v>0.2</v>
      </c>
      <c r="C8" s="8" t="inlineStr">
        <is>
          <t>Benchmark vs market; responsiveness; payment terms</t>
        </is>
      </c>
    </row>
    <row r="9">
      <c r="A9" s="6" t="inlineStr">
        <is>
          <t>Technical Capability (Spec Compliance)</t>
        </is>
      </c>
      <c r="B9" s="47" t="n">
        <v>0.25</v>
      </c>
      <c r="C9" s="8" t="inlineStr">
        <is>
          <t>Meets or exceeds technical specification; engineering support quality</t>
        </is>
      </c>
    </row>
    <row r="10">
      <c r="A10" s="6" t="inlineStr">
        <is>
          <t>Program Support (Communication / PM)</t>
        </is>
      </c>
      <c r="B10" s="47" t="n">
        <v>0.1</v>
      </c>
      <c r="C10" s="8" t="inlineStr">
        <is>
          <t>Responsiveness; dedicated PM; escalation handling</t>
        </is>
      </c>
    </row>
    <row r="12" ht="18" customHeight="1">
      <c r="A12" s="105" t="inlineStr">
        <is>
          <t>SUPPLIER SCORECARD &amp; QUALIFICATION MATRIX</t>
        </is>
      </c>
    </row>
    <row r="13" ht="30" customHeight="1">
      <c r="A13" s="106" t="inlineStr">
        <is>
          <t>Supplier</t>
        </is>
      </c>
      <c r="B13" s="106" t="inlineStr">
        <is>
          <t>Equip Ref</t>
        </is>
      </c>
      <c r="C13" s="106" t="inlineStr">
        <is>
          <t>Region</t>
        </is>
      </c>
      <c r="D13" s="106" t="inlineStr">
        <is>
          <t>Qual Stage</t>
        </is>
      </c>
      <c r="E13" s="106" t="inlineStr">
        <is>
          <t>Delivery (1-5)</t>
        </is>
      </c>
      <c r="F13" s="106" t="inlineStr">
        <is>
          <t>Quality (1-5)</t>
        </is>
      </c>
      <c r="G13" s="106" t="inlineStr">
        <is>
          <t>Commercial (1-5)</t>
        </is>
      </c>
      <c r="H13" s="106" t="inlineStr">
        <is>
          <t>Technical (1-5)</t>
        </is>
      </c>
      <c r="I13" s="106" t="inlineStr">
        <is>
          <t>Program Support (1-5)</t>
        </is>
      </c>
      <c r="J13" s="106" t="inlineStr">
        <is>
          <t>Composite Weighted Score</t>
        </is>
      </c>
      <c r="K13" s="106" t="inlineStr">
        <is>
          <t>Supplier Status</t>
        </is>
      </c>
      <c r="L13" s="106" t="inlineStr">
        <is>
          <t>Last Audit Date</t>
        </is>
      </c>
      <c r="M13" s="106" t="inlineStr">
        <is>
          <t>Next Review Date</t>
        </is>
      </c>
      <c r="N13" s="106" t="inlineStr">
        <is>
          <t>Qualification Notes</t>
        </is>
      </c>
    </row>
    <row r="14">
      <c r="A14" s="6" t="inlineStr">
        <is>
          <t>Edwards Vacuum</t>
        </is>
      </c>
      <c r="B14" s="6" t="inlineStr">
        <is>
          <t>EQ-001</t>
        </is>
      </c>
      <c r="C14" s="6" t="inlineStr">
        <is>
          <t>UK</t>
        </is>
      </c>
      <c r="D14" s="6" t="inlineStr">
        <is>
          <t>AVL — Approved</t>
        </is>
      </c>
      <c r="E14" s="43" t="n">
        <v>4</v>
      </c>
      <c r="F14" s="43" t="n">
        <v>4</v>
      </c>
      <c r="G14" s="43" t="n">
        <v>3</v>
      </c>
      <c r="H14" s="43" t="n">
        <v>4</v>
      </c>
      <c r="I14" s="43" t="n">
        <v>4</v>
      </c>
      <c r="J14" s="33">
        <f>0.25*E14+0.2*F14+0.2*G14+0.25*H14+0.1*I14</f>
        <v/>
      </c>
      <c r="K14" s="40" t="inlineStr">
        <is>
          <t>APPROVED</t>
        </is>
      </c>
      <c r="L14" s="6" t="inlineStr">
        <is>
          <t>2025-Q1</t>
        </is>
      </c>
      <c r="M14" s="6" t="inlineStr">
        <is>
          <t>2025-Q3</t>
        </is>
      </c>
      <c r="N14" s="8" t="inlineStr">
        <is>
          <t>Reliable supplier; post-Brexit logistics occasionally impacts lead time; alt-vendor qual complete</t>
        </is>
      </c>
    </row>
    <row r="15">
      <c r="A15" s="6" t="inlineStr">
        <is>
          <t>Pfeiffer Vacuum</t>
        </is>
      </c>
      <c r="B15" s="6" t="inlineStr">
        <is>
          <t>EQ-002</t>
        </is>
      </c>
      <c r="C15" s="6" t="inlineStr">
        <is>
          <t>DE</t>
        </is>
      </c>
      <c r="D15" s="6" t="inlineStr">
        <is>
          <t>AVL — Conditional</t>
        </is>
      </c>
      <c r="E15" s="43" t="n">
        <v>3</v>
      </c>
      <c r="F15" s="43" t="n">
        <v>5</v>
      </c>
      <c r="G15" s="43" t="n">
        <v>3</v>
      </c>
      <c r="H15" s="43" t="n">
        <v>5</v>
      </c>
      <c r="I15" s="43" t="n">
        <v>3</v>
      </c>
      <c r="J15" s="33">
        <f>0.25*E15+0.2*F15+0.2*G15+0.25*H15+0.1*I15</f>
        <v/>
      </c>
      <c r="K15" s="46" t="inlineStr">
        <is>
          <t>CONDITIONAL</t>
        </is>
      </c>
      <c r="L15" s="6" t="inlineStr">
        <is>
          <t>2024-Q3</t>
        </is>
      </c>
      <c r="M15" s="6" t="inlineStr">
        <is>
          <t>2025-Q2</t>
        </is>
      </c>
      <c r="N15" s="8" t="inlineStr">
        <is>
          <t>Single-source; HIGH supply risk. Conditional approval pending Shimadzu alt qualification.</t>
        </is>
      </c>
    </row>
    <row r="16">
      <c r="A16" s="6" t="inlineStr">
        <is>
          <t>Thermco Systems</t>
        </is>
      </c>
      <c r="B16" s="6" t="inlineStr">
        <is>
          <t>EQ-003</t>
        </is>
      </c>
      <c r="C16" s="6" t="inlineStr">
        <is>
          <t>USA</t>
        </is>
      </c>
      <c r="D16" s="6" t="inlineStr">
        <is>
          <t>AVL — Preferred</t>
        </is>
      </c>
      <c r="E16" s="43" t="n">
        <v>5</v>
      </c>
      <c r="F16" s="43" t="n">
        <v>5</v>
      </c>
      <c r="G16" s="43" t="n">
        <v>4</v>
      </c>
      <c r="H16" s="43" t="n">
        <v>5</v>
      </c>
      <c r="I16" s="43" t="n">
        <v>5</v>
      </c>
      <c r="J16" s="33">
        <f>0.25*E16+0.2*F16+0.2*G16+0.25*H16+0.1*I16</f>
        <v/>
      </c>
      <c r="K16" s="114" t="inlineStr">
        <is>
          <t>PREFERRED</t>
        </is>
      </c>
      <c r="L16" s="6" t="inlineStr">
        <is>
          <t>2024-Q4</t>
        </is>
      </c>
      <c r="M16" s="6" t="inlineStr">
        <is>
          <t>2025-Q4</t>
        </is>
      </c>
      <c r="N16" s="8" t="inlineStr">
        <is>
          <t>Best-in-class performance; strong PM support; BTU validated as alt; no concerns</t>
        </is>
      </c>
    </row>
    <row r="17">
      <c r="A17" s="6" t="inlineStr">
        <is>
          <t>Tokyo Electron Ltd (TEL)</t>
        </is>
      </c>
      <c r="B17" s="6" t="inlineStr">
        <is>
          <t>EQ-004</t>
        </is>
      </c>
      <c r="C17" s="6" t="inlineStr">
        <is>
          <t>JP</t>
        </is>
      </c>
      <c r="D17" s="6" t="inlineStr">
        <is>
          <t>AVL — Preferred</t>
        </is>
      </c>
      <c r="E17" s="43" t="n">
        <v>4</v>
      </c>
      <c r="F17" s="43" t="n">
        <v>5</v>
      </c>
      <c r="G17" s="43" t="n">
        <v>3</v>
      </c>
      <c r="H17" s="43" t="n">
        <v>5</v>
      </c>
      <c r="I17" s="43" t="n">
        <v>4</v>
      </c>
      <c r="J17" s="33">
        <f>0.25*E17+0.2*F17+0.2*G17+0.25*H17+0.1*I17</f>
        <v/>
      </c>
      <c r="K17" s="114" t="inlineStr">
        <is>
          <t>PREFERRED</t>
        </is>
      </c>
      <c r="L17" s="6" t="inlineStr">
        <is>
          <t>2024-Q3</t>
        </is>
      </c>
      <c r="M17" s="6" t="inlineStr">
        <is>
          <t>2025-Q3</t>
        </is>
      </c>
      <c r="N17" s="8" t="inlineStr">
        <is>
          <t>Premium supplier; higher commercial cost justified by TCO model; JPY FX hedged</t>
        </is>
      </c>
    </row>
    <row r="18">
      <c r="A18" s="6" t="inlineStr">
        <is>
          <t>Brooks Automation</t>
        </is>
      </c>
      <c r="B18" s="6" t="inlineStr">
        <is>
          <t>EQ-005</t>
        </is>
      </c>
      <c r="C18" s="6" t="inlineStr">
        <is>
          <t>USA</t>
        </is>
      </c>
      <c r="D18" s="6" t="inlineStr">
        <is>
          <t>AVL — Approved</t>
        </is>
      </c>
      <c r="E18" s="43" t="n">
        <v>4</v>
      </c>
      <c r="F18" s="43" t="n">
        <v>4</v>
      </c>
      <c r="G18" s="43" t="n">
        <v>4</v>
      </c>
      <c r="H18" s="43" t="n">
        <v>4</v>
      </c>
      <c r="I18" s="43" t="n">
        <v>4</v>
      </c>
      <c r="J18" s="33">
        <f>0.25*E18+0.2*F18+0.2*G18+0.25*H18+0.1*I18</f>
        <v/>
      </c>
      <c r="K18" s="40" t="inlineStr">
        <is>
          <t>APPROVED</t>
        </is>
      </c>
      <c r="L18" s="6" t="inlineStr">
        <is>
          <t>2025-Q1</t>
        </is>
      </c>
      <c r="M18" s="6" t="inlineStr">
        <is>
          <t>2025-Q3</t>
        </is>
      </c>
      <c r="N18" s="8" t="inlineStr">
        <is>
          <t>Strong delivery and quality; MES integration complexity is program risk not supplier risk</t>
        </is>
      </c>
    </row>
    <row r="19">
      <c r="A19" s="6" t="inlineStr">
        <is>
          <t>Daifuku</t>
        </is>
      </c>
      <c r="B19" s="6" t="inlineStr">
        <is>
          <t>EQ-006</t>
        </is>
      </c>
      <c r="C19" s="6" t="inlineStr">
        <is>
          <t>JP</t>
        </is>
      </c>
      <c r="D19" s="6" t="inlineStr">
        <is>
          <t>AVL — Conditional</t>
        </is>
      </c>
      <c r="E19" s="43" t="n">
        <v>3</v>
      </c>
      <c r="F19" s="43" t="n">
        <v>4</v>
      </c>
      <c r="G19" s="43" t="n">
        <v>3</v>
      </c>
      <c r="H19" s="43" t="n">
        <v>4</v>
      </c>
      <c r="I19" s="43" t="n">
        <v>3</v>
      </c>
      <c r="J19" s="33">
        <f>0.25*E19+0.2*F19+0.2*G19+0.25*H19+0.1*I19</f>
        <v/>
      </c>
      <c r="K19" s="46" t="inlineStr">
        <is>
          <t>CONDITIONAL</t>
        </is>
      </c>
      <c r="L19" s="6" t="inlineStr">
        <is>
          <t>2024-Q4</t>
        </is>
      </c>
      <c r="M19" s="6" t="inlineStr">
        <is>
          <t>2025-Q2</t>
        </is>
      </c>
      <c r="N19" s="8" t="inlineStr">
        <is>
          <t>Single-source for overhead track; commercial score impacted by $85K change order risk</t>
        </is>
      </c>
    </row>
    <row r="20">
      <c r="A20" s="6" t="inlineStr">
        <is>
          <t>Air Liquide Engineering</t>
        </is>
      </c>
      <c r="B20" s="6" t="inlineStr">
        <is>
          <t>EQ-007</t>
        </is>
      </c>
      <c r="C20" s="6" t="inlineStr">
        <is>
          <t>FR</t>
        </is>
      </c>
      <c r="D20" s="6" t="inlineStr">
        <is>
          <t>Qualification In Progress</t>
        </is>
      </c>
      <c r="E20" s="43" t="n">
        <v>3</v>
      </c>
      <c r="F20" s="43" t="n">
        <v>3</v>
      </c>
      <c r="G20" s="43" t="n">
        <v>3</v>
      </c>
      <c r="H20" s="43" t="n">
        <v>4</v>
      </c>
      <c r="I20" s="43" t="n">
        <v>3</v>
      </c>
      <c r="J20" s="33">
        <f>0.25*E20+0.2*F20+0.2*G20+0.25*H20+0.1*I20</f>
        <v/>
      </c>
      <c r="K20" s="75" t="inlineStr">
        <is>
          <t>IN QUALIFICATION</t>
        </is>
      </c>
      <c r="L20" s="6" t="inlineStr">
        <is>
          <t>N/A</t>
        </is>
      </c>
      <c r="M20" s="6" t="inlineStr">
        <is>
          <t>2025-Q2</t>
        </is>
      </c>
      <c r="N20" s="8" t="inlineStr">
        <is>
          <t>Quote still under negotiation; hazmat permit risk reduces score; full audit scheduled Q2</t>
        </is>
      </c>
    </row>
    <row r="21">
      <c r="A21" s="6" t="inlineStr">
        <is>
          <t>Linde Engineering</t>
        </is>
      </c>
      <c r="B21" s="6" t="inlineStr">
        <is>
          <t>EQ-008</t>
        </is>
      </c>
      <c r="C21" s="6" t="inlineStr">
        <is>
          <t>DE</t>
        </is>
      </c>
      <c r="D21" s="6" t="inlineStr">
        <is>
          <t>AVL — Approved</t>
        </is>
      </c>
      <c r="E21" s="43" t="n">
        <v>4</v>
      </c>
      <c r="F21" s="43" t="n">
        <v>4</v>
      </c>
      <c r="G21" s="43" t="n">
        <v>4</v>
      </c>
      <c r="H21" s="43" t="n">
        <v>4</v>
      </c>
      <c r="I21" s="43" t="n">
        <v>4</v>
      </c>
      <c r="J21" s="33">
        <f>0.25*E21+0.2*F21+0.2*G21+0.25*H21+0.1*I21</f>
        <v/>
      </c>
      <c r="K21" s="40" t="inlineStr">
        <is>
          <t>APPROVED</t>
        </is>
      </c>
      <c r="L21" s="6" t="inlineStr">
        <is>
          <t>2024-Q3</t>
        </is>
      </c>
      <c r="M21" s="6" t="inlineStr">
        <is>
          <t>2025-Q4</t>
        </is>
      </c>
      <c r="N21" s="8" t="inlineStr">
        <is>
          <t>Strong supplier; existing site gas supply contract provides leverage</t>
        </is>
      </c>
    </row>
    <row r="22">
      <c r="A22" s="6" t="inlineStr">
        <is>
          <t>Siemens AG</t>
        </is>
      </c>
      <c r="B22" s="6" t="inlineStr">
        <is>
          <t>EQ-009</t>
        </is>
      </c>
      <c r="C22" s="6" t="inlineStr">
        <is>
          <t>DE</t>
        </is>
      </c>
      <c r="D22" s="6" t="inlineStr">
        <is>
          <t>AVL — Preferred</t>
        </is>
      </c>
      <c r="E22" s="43" t="n">
        <v>5</v>
      </c>
      <c r="F22" s="43" t="n">
        <v>5</v>
      </c>
      <c r="G22" s="43" t="n">
        <v>4</v>
      </c>
      <c r="H22" s="43" t="n">
        <v>5</v>
      </c>
      <c r="I22" s="43" t="n">
        <v>5</v>
      </c>
      <c r="J22" s="33">
        <f>0.25*E22+0.2*F22+0.2*G22+0.25*H22+0.1*I22</f>
        <v/>
      </c>
      <c r="K22" s="114" t="inlineStr">
        <is>
          <t>PREFERRED</t>
        </is>
      </c>
      <c r="L22" s="6" t="inlineStr">
        <is>
          <t>2024-Q2</t>
        </is>
      </c>
      <c r="M22" s="6" t="inlineStr">
        <is>
          <t>2025-Q4</t>
        </is>
      </c>
      <c r="N22" s="8" t="inlineStr">
        <is>
          <t>Strategic preferred supplier; highest reliability score in portfolio</t>
        </is>
      </c>
    </row>
    <row r="23">
      <c r="A23" s="6" t="inlineStr">
        <is>
          <t>Inductive Automation</t>
        </is>
      </c>
      <c r="B23" s="6" t="inlineStr">
        <is>
          <t>EQ-010</t>
        </is>
      </c>
      <c r="C23" s="6" t="inlineStr">
        <is>
          <t>USA</t>
        </is>
      </c>
      <c r="D23" s="6" t="inlineStr">
        <is>
          <t>AVL — Approved</t>
        </is>
      </c>
      <c r="E23" s="43" t="n">
        <v>5</v>
      </c>
      <c r="F23" s="43" t="n">
        <v>5</v>
      </c>
      <c r="G23" s="43" t="n">
        <v>5</v>
      </c>
      <c r="H23" s="43" t="n">
        <v>4</v>
      </c>
      <c r="I23" s="43" t="n">
        <v>4</v>
      </c>
      <c r="J23" s="33">
        <f>0.25*E23+0.2*F23+0.2*G23+0.25*H23+0.1*I23</f>
        <v/>
      </c>
      <c r="K23" s="40" t="inlineStr">
        <is>
          <t>APPROVED</t>
        </is>
      </c>
      <c r="L23" s="6" t="inlineStr">
        <is>
          <t>2024-Q4</t>
        </is>
      </c>
      <c r="M23" s="6" t="inlineStr">
        <is>
          <t>2025-Q4</t>
        </is>
      </c>
      <c r="N23" s="8" t="inlineStr">
        <is>
          <t>Software vendor; excellent support; low supply risk</t>
        </is>
      </c>
    </row>
    <row r="24">
      <c r="A24" s="6" t="inlineStr">
        <is>
          <t>ABB Ltd</t>
        </is>
      </c>
      <c r="B24" s="6" t="inlineStr">
        <is>
          <t>EQ-011</t>
        </is>
      </c>
      <c r="C24" s="6" t="inlineStr">
        <is>
          <t>CH</t>
        </is>
      </c>
      <c r="D24" s="6" t="inlineStr">
        <is>
          <t>AVL — Approved</t>
        </is>
      </c>
      <c r="E24" s="43" t="n">
        <v>4</v>
      </c>
      <c r="F24" s="43" t="n">
        <v>4</v>
      </c>
      <c r="G24" s="43" t="n">
        <v>4</v>
      </c>
      <c r="H24" s="43" t="n">
        <v>4</v>
      </c>
      <c r="I24" s="43" t="n">
        <v>4</v>
      </c>
      <c r="J24" s="33">
        <f>0.25*E24+0.2*F24+0.2*G24+0.25*H24+0.1*I24</f>
        <v/>
      </c>
      <c r="K24" s="40" t="inlineStr">
        <is>
          <t>APPROVED</t>
        </is>
      </c>
      <c r="L24" s="6" t="inlineStr">
        <is>
          <t>2024-Q3</t>
        </is>
      </c>
      <c r="M24" s="6" t="inlineStr">
        <is>
          <t>2025-Q4</t>
        </is>
      </c>
      <c r="N24" s="8" t="inlineStr">
        <is>
          <t>Established supplier; transformer lead time extended but within program tolerance</t>
        </is>
      </c>
    </row>
    <row r="25">
      <c r="A25" s="6" t="inlineStr">
        <is>
          <t>Daikin Applied</t>
        </is>
      </c>
      <c r="B25" s="6" t="inlineStr">
        <is>
          <t>EQ-012</t>
        </is>
      </c>
      <c r="C25" s="6" t="inlineStr">
        <is>
          <t>JP</t>
        </is>
      </c>
      <c r="D25" s="6" t="inlineStr">
        <is>
          <t>AVL — Approved</t>
        </is>
      </c>
      <c r="E25" s="43" t="n">
        <v>4</v>
      </c>
      <c r="F25" s="43" t="n">
        <v>4</v>
      </c>
      <c r="G25" s="43" t="n">
        <v>3</v>
      </c>
      <c r="H25" s="43" t="n">
        <v>4</v>
      </c>
      <c r="I25" s="43" t="n">
        <v>4</v>
      </c>
      <c r="J25" s="33">
        <f>0.25*E25+0.2*F25+0.2*G25+0.25*H25+0.1*I25</f>
        <v/>
      </c>
      <c r="K25" s="40" t="inlineStr">
        <is>
          <t>APPROVED</t>
        </is>
      </c>
      <c r="L25" s="6" t="inlineStr">
        <is>
          <t>2024-Q4</t>
        </is>
      </c>
      <c r="M25" s="6" t="inlineStr">
        <is>
          <t>2025-Q3</t>
        </is>
      </c>
      <c r="N25" s="8" t="inlineStr">
        <is>
          <t>Solid supplier; glycol loop interface must be finalized before FAT — see CR-012</t>
        </is>
      </c>
    </row>
    <row r="26">
      <c r="A26" s="6" t="inlineStr">
        <is>
          <t>Busch Vacuum</t>
        </is>
      </c>
      <c r="B26" s="6" t="inlineStr">
        <is>
          <t>EQ-013</t>
        </is>
      </c>
      <c r="C26" s="6" t="inlineStr">
        <is>
          <t>DE</t>
        </is>
      </c>
      <c r="D26" s="6" t="inlineStr">
        <is>
          <t>AVL — Approved</t>
        </is>
      </c>
      <c r="E26" s="43" t="n">
        <v>4</v>
      </c>
      <c r="F26" s="43" t="n">
        <v>4</v>
      </c>
      <c r="G26" s="43" t="n">
        <v>4</v>
      </c>
      <c r="H26" s="43" t="n">
        <v>4</v>
      </c>
      <c r="I26" s="43" t="n">
        <v>4</v>
      </c>
      <c r="J26" s="33">
        <f>0.25*E26+0.2*F26+0.2*G26+0.25*H26+0.1*I26</f>
        <v/>
      </c>
      <c r="K26" s="40" t="inlineStr">
        <is>
          <t>APPROVED</t>
        </is>
      </c>
      <c r="L26" s="6" t="inlineStr">
        <is>
          <t>2024-Q3</t>
        </is>
      </c>
      <c r="M26" s="6" t="inlineStr">
        <is>
          <t>2025-Q4</t>
        </is>
      </c>
      <c r="N26" s="8" t="inlineStr">
        <is>
          <t>Strong alt to Edwards for pump systems; validated as secondary source</t>
        </is>
      </c>
    </row>
    <row r="27">
      <c r="A27" s="6" t="inlineStr">
        <is>
          <t>Applied Materials (AMAT)</t>
        </is>
      </c>
      <c r="B27" s="6" t="inlineStr">
        <is>
          <t>EQ-014</t>
        </is>
      </c>
      <c r="C27" s="6" t="inlineStr">
        <is>
          <t>USA</t>
        </is>
      </c>
      <c r="D27" s="6" t="inlineStr">
        <is>
          <t>AVL — Preferred</t>
        </is>
      </c>
      <c r="E27" s="43" t="n">
        <v>4</v>
      </c>
      <c r="F27" s="43" t="n">
        <v>5</v>
      </c>
      <c r="G27" s="43" t="n">
        <v>3</v>
      </c>
      <c r="H27" s="43" t="n">
        <v>5</v>
      </c>
      <c r="I27" s="43" t="n">
        <v>5</v>
      </c>
      <c r="J27" s="33">
        <f>0.25*E27+0.2*F27+0.2*G27+0.25*H27+0.1*I27</f>
        <v/>
      </c>
      <c r="K27" s="114" t="inlineStr">
        <is>
          <t>PREFERRED</t>
        </is>
      </c>
      <c r="L27" s="6" t="inlineStr">
        <is>
          <t>2024-Q2</t>
        </is>
      </c>
      <c r="M27" s="6" t="inlineStr">
        <is>
          <t>2025-Q4</t>
        </is>
      </c>
      <c r="N27" s="8" t="inlineStr">
        <is>
          <t>Strategic OEM relationship; highest-value PO in program; excellent technical support</t>
        </is>
      </c>
    </row>
    <row r="28">
      <c r="A28" s="6" t="inlineStr">
        <is>
          <t>Mobile Industrial Robots (MiR)</t>
        </is>
      </c>
      <c r="B28" s="6" t="inlineStr">
        <is>
          <t>EQ-015</t>
        </is>
      </c>
      <c r="C28" s="6" t="inlineStr">
        <is>
          <t>DK</t>
        </is>
      </c>
      <c r="D28" s="6" t="inlineStr">
        <is>
          <t>AVL — Approved</t>
        </is>
      </c>
      <c r="E28" s="43" t="n">
        <v>4</v>
      </c>
      <c r="F28" s="43" t="n">
        <v>4</v>
      </c>
      <c r="G28" s="43" t="n">
        <v>4</v>
      </c>
      <c r="H28" s="43" t="n">
        <v>4</v>
      </c>
      <c r="I28" s="43" t="n">
        <v>3</v>
      </c>
      <c r="J28" s="33">
        <f>0.25*E28+0.2*F28+0.2*G28+0.25*H28+0.1*I28</f>
        <v/>
      </c>
      <c r="K28" s="40" t="inlineStr">
        <is>
          <t>APPROVED</t>
        </is>
      </c>
      <c r="L28" s="6" t="inlineStr">
        <is>
          <t>2025-Q1</t>
        </is>
      </c>
      <c r="M28" s="6" t="inlineStr">
        <is>
          <t>2025-Q3</t>
        </is>
      </c>
      <c r="N28" s="8" t="inlineStr">
        <is>
          <t>Strong fleet management platform; PM support slightly below average</t>
        </is>
      </c>
    </row>
    <row r="29">
      <c r="A29" s="6" t="inlineStr">
        <is>
          <t>Shimadzu Corp (Alt EQ-002)</t>
        </is>
      </c>
      <c r="B29" s="6" t="inlineStr">
        <is>
          <t>EQ-002</t>
        </is>
      </c>
      <c r="C29" s="6" t="inlineStr">
        <is>
          <t>JP</t>
        </is>
      </c>
      <c r="D29" s="6" t="inlineStr">
        <is>
          <t>Qualification In Progress</t>
        </is>
      </c>
      <c r="E29" s="6" t="inlineStr">
        <is>
          <t>N/A</t>
        </is>
      </c>
      <c r="F29" s="6" t="inlineStr">
        <is>
          <t>N/A</t>
        </is>
      </c>
      <c r="G29" s="6" t="inlineStr">
        <is>
          <t>N/A</t>
        </is>
      </c>
      <c r="H29" s="43" t="n">
        <v>3</v>
      </c>
      <c r="I29" s="6" t="inlineStr">
        <is>
          <t>N/A</t>
        </is>
      </c>
      <c r="J29" s="6" t="inlineStr">
        <is>
          <t>—</t>
        </is>
      </c>
      <c r="K29" s="75" t="inlineStr">
        <is>
          <t>IN QUALIFICATION</t>
        </is>
      </c>
      <c r="L29" s="6" t="inlineStr">
        <is>
          <t>N/A</t>
        </is>
      </c>
      <c r="M29" s="6" t="inlineStr">
        <is>
          <t>2025-Q3</t>
        </is>
      </c>
      <c r="N29" s="8" t="inlineStr">
        <is>
          <t>Initiated as alt to Pfeiffer per CR-007; TMP-3203L under technical evaluation; 90-day qual program</t>
        </is>
      </c>
    </row>
    <row r="30">
      <c r="A30" s="6" t="inlineStr">
        <is>
          <t>BTU International (Alt EQ-003)</t>
        </is>
      </c>
      <c r="B30" s="6" t="inlineStr">
        <is>
          <t>EQ-003</t>
        </is>
      </c>
      <c r="C30" s="6" t="inlineStr">
        <is>
          <t>USA</t>
        </is>
      </c>
      <c r="D30" s="6" t="inlineStr">
        <is>
          <t>AVL — Approved</t>
        </is>
      </c>
      <c r="E30" s="43" t="n">
        <v>4</v>
      </c>
      <c r="F30" s="43" t="n">
        <v>4</v>
      </c>
      <c r="G30" s="43" t="n">
        <v>4</v>
      </c>
      <c r="H30" s="43" t="n">
        <v>4</v>
      </c>
      <c r="I30" s="43" t="n">
        <v>4</v>
      </c>
      <c r="J30" s="33">
        <f>0.25*E30+0.2*F30+0.2*G30+0.25*H30+0.1*I30</f>
        <v/>
      </c>
      <c r="K30" s="40" t="inlineStr">
        <is>
          <t>APPROVED</t>
        </is>
      </c>
      <c r="L30" s="6" t="inlineStr">
        <is>
          <t>2024-Q2</t>
        </is>
      </c>
      <c r="M30" s="6" t="inlineStr">
        <is>
          <t>2025-Q4</t>
        </is>
      </c>
      <c r="N30" s="8" t="inlineStr">
        <is>
          <t>Pre-qualified as secondary to Thermco; compatible process performance; available as backup</t>
        </is>
      </c>
    </row>
    <row r="31">
      <c r="A31" s="6" t="inlineStr">
        <is>
          <t>Matheson Gas (Alt EQ-007)</t>
        </is>
      </c>
      <c r="B31" s="6" t="inlineStr">
        <is>
          <t>EQ-007</t>
        </is>
      </c>
      <c r="C31" s="6" t="inlineStr">
        <is>
          <t>USA</t>
        </is>
      </c>
      <c r="D31" s="6" t="inlineStr">
        <is>
          <t>RFQ Issued</t>
        </is>
      </c>
      <c r="E31" s="6" t="inlineStr">
        <is>
          <t>N/A</t>
        </is>
      </c>
      <c r="F31" s="6" t="inlineStr">
        <is>
          <t>N/A</t>
        </is>
      </c>
      <c r="G31" s="43" t="n">
        <v>3</v>
      </c>
      <c r="H31" s="43" t="n">
        <v>3</v>
      </c>
      <c r="I31" s="6" t="inlineStr">
        <is>
          <t>N/A</t>
        </is>
      </c>
      <c r="J31" s="6" t="inlineStr">
        <is>
          <t>—</t>
        </is>
      </c>
      <c r="K31" s="107" t="inlineStr">
        <is>
          <t>MONITORING</t>
        </is>
      </c>
      <c r="L31" s="6" t="inlineStr">
        <is>
          <t>N/A</t>
        </is>
      </c>
      <c r="M31" s="6" t="inlineStr">
        <is>
          <t>2025-Q2</t>
        </is>
      </c>
      <c r="N31" s="8" t="inlineStr">
        <is>
          <t>RFQ issued as alternative to Air Liquide; pricing and delivery terms under review</t>
        </is>
      </c>
    </row>
    <row r="34" ht="18" customHeight="1">
      <c r="A34" s="105" t="inlineStr">
        <is>
          <t>VENDOR QUALIFICATION SUMMARY</t>
        </is>
      </c>
    </row>
    <row r="35">
      <c r="A35" s="6" t="inlineStr">
        <is>
          <t>Total Suppliers Tracked</t>
        </is>
      </c>
      <c r="B35" s="49">
        <f>COUNTA(A14:A31)</f>
        <v/>
      </c>
    </row>
    <row r="36">
      <c r="A36" s="6" t="inlineStr">
        <is>
          <t>Preferred Suppliers (AVL)</t>
        </is>
      </c>
      <c r="B36" s="49">
        <f>COUNTIF(K14:K31,"PREFERRED")</f>
        <v/>
      </c>
    </row>
    <row r="37">
      <c r="A37" s="6" t="inlineStr">
        <is>
          <t>Approved Suppliers (AVL)</t>
        </is>
      </c>
      <c r="B37" s="49">
        <f>COUNTIF(K14:K31,"APPROVED")</f>
        <v/>
      </c>
    </row>
    <row r="38">
      <c r="A38" s="6" t="inlineStr">
        <is>
          <t>Conditional / Monitoring</t>
        </is>
      </c>
      <c r="B38" s="49">
        <f>COUNTIF(K14:K31,"CONDITIONAL")+COUNTIF(K14:K31,"MONITORING")</f>
        <v/>
      </c>
    </row>
    <row r="39">
      <c r="A39" s="6" t="inlineStr">
        <is>
          <t>In Qualification</t>
        </is>
      </c>
      <c r="B39" s="49">
        <f>COUNTIF(K14:K31,"IN QUALIFICATION")</f>
        <v/>
      </c>
    </row>
    <row r="40">
      <c r="A40" s="6" t="inlineStr">
        <is>
          <t>Avg Composite Score (Active AVL)</t>
        </is>
      </c>
      <c r="B40" s="51">
        <f>AVERAGEIF(J14:J31,"&gt;0")</f>
        <v/>
      </c>
    </row>
  </sheetData>
  <mergeCells count="5">
    <mergeCell ref="A12:N12"/>
    <mergeCell ref="A2:N2"/>
    <mergeCell ref="A4:C4"/>
    <mergeCell ref="A34:B34"/>
    <mergeCell ref="A1:N1"/>
  </mergeCells>
  <pageMargins left="0.75" right="0.75" top="1" bottom="1" header="0.5" footer="0.5"/>
</worksheet>
</file>

<file path=xl/worksheets/sheet36.xml><?xml version="1.0" encoding="utf-8"?>
<worksheet xmlns="http://schemas.openxmlformats.org/spreadsheetml/2006/main">
  <sheetPr>
    <tabColor rgb="00C0392B"/>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9" customWidth="1" min="1" max="1"/>
    <col width="12" customWidth="1" min="2" max="2"/>
    <col width="10" customWidth="1" min="3" max="3"/>
    <col width="20" customWidth="1" min="4" max="4"/>
    <col width="44" customWidth="1" min="5" max="5"/>
    <col width="44" customWidth="1" min="6" max="6"/>
    <col width="12" customWidth="1" min="7" max="7"/>
    <col width="12" customWidth="1" min="8" max="8"/>
    <col width="12" customWidth="1" min="9" max="9"/>
    <col width="20" customWidth="1" min="10" max="10"/>
    <col width="22" customWidth="1" min="11" max="11"/>
    <col width="20" customWidth="1" min="12" max="12"/>
    <col width="48" customWidth="1" min="13" max="13"/>
  </cols>
  <sheetData>
    <row r="1" ht="26" customHeight="1">
      <c r="A1" s="104" t="inlineStr">
        <is>
          <t>S32 — Engineering Change Management Tracker — CapEx Phase II Program</t>
        </is>
      </c>
    </row>
    <row r="2" ht="15" customHeight="1">
      <c r="A2" s="2" t="inlineStr">
        <is>
          <t>All scope, technical, or budget changes must be logged here | Approved changes flow to AR update and decision log | Owner accountable for implementation</t>
        </is>
      </c>
    </row>
    <row r="4" ht="30" customHeight="1">
      <c r="A4" s="106" t="inlineStr">
        <is>
          <t>Change ID</t>
        </is>
      </c>
      <c r="B4" s="106" t="inlineStr">
        <is>
          <t>Raised Date</t>
        </is>
      </c>
      <c r="C4" s="106" t="inlineStr">
        <is>
          <t>Equipment Ref</t>
        </is>
      </c>
      <c r="D4" s="106" t="inlineStr">
        <is>
          <t>Change Category</t>
        </is>
      </c>
      <c r="E4" s="106" t="inlineStr">
        <is>
          <t>Change Description</t>
        </is>
      </c>
      <c r="F4" s="106" t="inlineStr">
        <is>
          <t>Reason / Trigger</t>
        </is>
      </c>
      <c r="G4" s="106" t="inlineStr">
        <is>
          <t>Cost Impact (USD)</t>
        </is>
      </c>
      <c r="H4" s="106" t="inlineStr">
        <is>
          <t>Schedule Impact (wks)</t>
        </is>
      </c>
      <c r="I4" s="106" t="inlineStr">
        <is>
          <t>Quality/Tech Risk</t>
        </is>
      </c>
      <c r="J4" s="106" t="inlineStr">
        <is>
          <t>Raised By</t>
        </is>
      </c>
      <c r="K4" s="106" t="inlineStr">
        <is>
          <t>Approved By</t>
        </is>
      </c>
      <c r="L4" s="106" t="inlineStr">
        <is>
          <t>Change Status</t>
        </is>
      </c>
      <c r="M4" s="106" t="inlineStr">
        <is>
          <t>Implementation Notes</t>
        </is>
      </c>
    </row>
    <row r="5">
      <c r="A5" s="6" t="inlineStr">
        <is>
          <t>CR-001</t>
        </is>
      </c>
      <c r="B5" s="6" t="inlineStr">
        <is>
          <t>2025-03-17</t>
        </is>
      </c>
      <c r="C5" s="6" t="inlineStr">
        <is>
          <t>EQ-004</t>
        </is>
      </c>
      <c r="D5" s="6" t="inlineStr">
        <is>
          <t>Installation Scope</t>
        </is>
      </c>
      <c r="E5" s="8" t="inlineStr">
        <is>
          <t>Add external 50-tonne crane hire and structural floor reinforcement for EQ-004 batch furnace installation</t>
        </is>
      </c>
      <c r="F5" s="8" t="inlineStr">
        <is>
          <t>Site walk revealed existing 3.5T facility crane is insufficient for 4,800 kg TEL furnace. Structural analysis confirmed floor reinforcement required.</t>
        </is>
      </c>
      <c r="G5" s="48" t="n">
        <v>62000</v>
      </c>
      <c r="H5" s="43" t="n">
        <v>1</v>
      </c>
      <c r="I5" s="40" t="inlineStr">
        <is>
          <t>LOW</t>
        </is>
      </c>
      <c r="J5" s="6" t="inlineStr">
        <is>
          <t>T. Okonkwo (Facilities)</t>
        </is>
      </c>
      <c r="K5" s="6" t="inlineStr">
        <is>
          <t>PM — Sourabh Tarodekar</t>
        </is>
      </c>
      <c r="L5" s="40" t="inlineStr">
        <is>
          <t>APPROVED — IMPLEMENTED</t>
        </is>
      </c>
      <c r="M5" s="8" t="inlineStr">
        <is>
          <t>Crane booked. Structural work complete Week 14. Cost added to EQ-004 install line item.</t>
        </is>
      </c>
    </row>
    <row r="6">
      <c r="A6" s="6" t="inlineStr">
        <is>
          <t>CR-002</t>
        </is>
      </c>
      <c r="B6" s="6" t="inlineStr">
        <is>
          <t>2025-03-19</t>
        </is>
      </c>
      <c r="C6" s="6" t="inlineStr">
        <is>
          <t>EQ-001</t>
        </is>
      </c>
      <c r="D6" s="6" t="inlineStr">
        <is>
          <t>Facility Infrastructure</t>
        </is>
      </c>
      <c r="E6" s="8" t="inlineStr">
        <is>
          <t>Install new 100A dedicated electrical sub-panel and 35m cable run for EQ-001 vacuum pump set</t>
        </is>
      </c>
      <c r="F6" s="8" t="inlineStr">
        <is>
          <t>Existing electrical panel headroom 45 kW — insufficient for 4-pump set requiring 74 kW. Identified during site walk.</t>
        </is>
      </c>
      <c r="G6" s="48" t="n">
        <v>22000</v>
      </c>
      <c r="H6" s="43" t="n">
        <v>0</v>
      </c>
      <c r="I6" s="40" t="inlineStr">
        <is>
          <t>LOW</t>
        </is>
      </c>
      <c r="J6" s="6" t="inlineStr">
        <is>
          <t>T. Okonkwo (Facilities)</t>
        </is>
      </c>
      <c r="K6" s="6" t="inlineStr">
        <is>
          <t>PM — Sourabh Tarodekar</t>
        </is>
      </c>
      <c r="L6" s="40" t="inlineStr">
        <is>
          <t>APPROVED — IMPLEMENTED</t>
        </is>
      </c>
      <c r="M6" s="8" t="inlineStr">
        <is>
          <t>Sub-panel installed Week 28-29. Electrical test passed. No schedule impact to EQ-001 delivery.</t>
        </is>
      </c>
    </row>
    <row r="7">
      <c r="A7" s="6" t="inlineStr">
        <is>
          <t>CR-003</t>
        </is>
      </c>
      <c r="B7" s="6" t="inlineStr">
        <is>
          <t>2025-03-24</t>
        </is>
      </c>
      <c r="C7" s="6" t="inlineStr">
        <is>
          <t>EQ-007</t>
        </is>
      </c>
      <c r="D7" s="6" t="inlineStr">
        <is>
          <t>Regulatory / Compliance</t>
        </is>
      </c>
      <c r="E7" s="8" t="inlineStr">
        <is>
          <t>Engage regulatory consultant for expedited hazmat permit for EQ-007 toxic gas cabinet</t>
        </is>
      </c>
      <c r="F7" s="8" t="inlineStr">
        <is>
          <t>Standard permit lead time 8-12 weeks exceeds program schedule allowance of 6 weeks. Permit is on critical path.</t>
        </is>
      </c>
      <c r="G7" s="48" t="n">
        <v>8500</v>
      </c>
      <c r="H7" s="43" t="n">
        <v>0</v>
      </c>
      <c r="I7" s="73" t="inlineStr">
        <is>
          <t>HIGH</t>
        </is>
      </c>
      <c r="J7" s="6" t="inlineStr">
        <is>
          <t>D. Walsh (EHS)</t>
        </is>
      </c>
      <c r="K7" s="6" t="inlineStr">
        <is>
          <t>PM — Sourabh Tarodekar</t>
        </is>
      </c>
      <c r="L7" s="75" t="inlineStr">
        <is>
          <t>APPROVED — PENDING</t>
        </is>
      </c>
      <c r="M7" s="8" t="inlineStr">
        <is>
          <t>Consultant engaged 2025-03-25. Permit application filed. Estimated approval 2025-05-30. Monitor weekly.</t>
        </is>
      </c>
    </row>
    <row r="8">
      <c r="A8" s="6" t="inlineStr">
        <is>
          <t>CR-004</t>
        </is>
      </c>
      <c r="B8" s="6" t="inlineStr">
        <is>
          <t>2025-04-14</t>
        </is>
      </c>
      <c r="C8" s="6" t="inlineStr">
        <is>
          <t>EQ-003</t>
        </is>
      </c>
      <c r="D8" s="6" t="inlineStr">
        <is>
          <t>Technical Specification</t>
        </is>
      </c>
      <c r="E8" s="8" t="inlineStr">
        <is>
          <t>Add helium leak test to EQ-003 tube furnace FAT protocol per site safety standard SHE-042</t>
        </is>
      </c>
      <c r="F8" s="8" t="inlineStr">
        <is>
          <t>Quality review identified omission of He leak test in Thermco-supplied FAT protocol. SHE-042 mandates He leak testing.</t>
        </is>
      </c>
      <c r="G8" s="6" t="inlineStr">
        <is>
          <t>-</t>
        </is>
      </c>
      <c r="H8" s="43" t="n">
        <v>0</v>
      </c>
      <c r="I8" s="40" t="inlineStr">
        <is>
          <t>LOW</t>
        </is>
      </c>
      <c r="J8" s="6" t="inlineStr">
        <is>
          <t>K. Tanaka (Quality)</t>
        </is>
      </c>
      <c r="K8" s="6" t="inlineStr">
        <is>
          <t>Quality Director</t>
        </is>
      </c>
      <c r="L8" s="40" t="inlineStr">
        <is>
          <t>APPROVED — IMPLEMENTED</t>
        </is>
      </c>
      <c r="M8" s="8" t="inlineStr">
        <is>
          <t>FAT protocol updated and approved by Quality 2025-04-18. No cost or schedule impact.</t>
        </is>
      </c>
    </row>
    <row r="9">
      <c r="A9" s="6" t="inlineStr">
        <is>
          <t>CR-005</t>
        </is>
      </c>
      <c r="B9" s="6" t="inlineStr">
        <is>
          <t>2025-04-21</t>
        </is>
      </c>
      <c r="C9" s="6" t="inlineStr">
        <is>
          <t>EQ-014</t>
        </is>
      </c>
      <c r="D9" s="6" t="inlineStr">
        <is>
          <t>Process Specification</t>
        </is>
      </c>
      <c r="E9" s="8" t="inlineStr">
        <is>
          <t>Add edge ring qualification lot (25 wafers) to EQ-014 AMAT RTP FAT protocol</t>
        </is>
      </c>
      <c r="F9" s="8" t="inlineStr">
        <is>
          <t>Process engineering identified edge-to-center non-uniformity risk at high ramp rates (&gt;150C/s).</t>
        </is>
      </c>
      <c r="G9" s="6" t="inlineStr">
        <is>
          <t>-</t>
        </is>
      </c>
      <c r="H9" s="43" t="n">
        <v>0</v>
      </c>
      <c r="I9" s="46" t="inlineStr">
        <is>
          <t>MODERATE</t>
        </is>
      </c>
      <c r="J9" s="6" t="inlineStr">
        <is>
          <t>M. Chen (Process Eng.)</t>
        </is>
      </c>
      <c r="K9" s="6" t="inlineStr">
        <is>
          <t>Director of Engineering</t>
        </is>
      </c>
      <c r="L9" s="40" t="inlineStr">
        <is>
          <t>APPROVED — IMPLEMENTED</t>
        </is>
      </c>
      <c r="M9" s="8" t="inlineStr">
        <is>
          <t>Protocol updated. 25-wafer edge ring lot included in FAT scope. No cost impact — AMAT absorbs wafer cost.</t>
        </is>
      </c>
    </row>
    <row r="10">
      <c r="A10" s="6" t="inlineStr">
        <is>
          <t>CR-006</t>
        </is>
      </c>
      <c r="B10" s="6" t="inlineStr">
        <is>
          <t>2025-05-05</t>
        </is>
      </c>
      <c r="C10" s="6" t="inlineStr">
        <is>
          <t>EQ-006</t>
        </is>
      </c>
      <c r="D10" s="6" t="inlineStr">
        <is>
          <t>Schedule Change</t>
        </is>
      </c>
      <c r="E10" s="8" t="inlineStr">
        <is>
          <t>Freeze Daifuku overhead conveyor layout by Week 6 — activate change control for any post-freeze deviation</t>
        </is>
      </c>
      <c r="F10" s="8" t="inlineStr">
        <is>
          <t>Daifuku contract specifies 4-week delay + $85K re-engineering fee for any layout change after civil interface freeze.</t>
        </is>
      </c>
      <c r="G10" s="6" t="inlineStr">
        <is>
          <t>-</t>
        </is>
      </c>
      <c r="H10" s="43" t="n">
        <v>0</v>
      </c>
      <c r="I10" s="46" t="inlineStr">
        <is>
          <t>MODERATE</t>
        </is>
      </c>
      <c r="J10" s="6" t="inlineStr">
        <is>
          <t>Sourabh Tarodekar (PM)</t>
        </is>
      </c>
      <c r="K10" s="6" t="inlineStr">
        <is>
          <t>PM — Sourabh Tarodekar</t>
        </is>
      </c>
      <c r="L10" s="40" t="inlineStr">
        <is>
          <t>APPROVED — IMPLEMENTED</t>
        </is>
      </c>
      <c r="M10" s="8" t="inlineStr">
        <is>
          <t>Freeze notice issued 2025-05-07. Layout confirmed by all teams. Change control process active.</t>
        </is>
      </c>
    </row>
    <row r="11">
      <c r="A11" s="6" t="inlineStr">
        <is>
          <t>CR-007</t>
        </is>
      </c>
      <c r="B11" s="6" t="inlineStr">
        <is>
          <t>2025-05-05</t>
        </is>
      </c>
      <c r="C11" s="6" t="inlineStr">
        <is>
          <t>EQ-002</t>
        </is>
      </c>
      <c r="D11" s="6" t="inlineStr">
        <is>
          <t>Supplier Change</t>
        </is>
      </c>
      <c r="E11" s="8" t="inlineStr">
        <is>
          <t>Initiate parallel qualification of Shimadzu TMP-3203L as alternative to Pfeiffer EQ-002 turbomolecular pump</t>
        </is>
      </c>
      <c r="F11" s="8" t="inlineStr">
        <is>
          <t>EQ-002 is single-source with Pfeiffer. Risk accepted with condition of parallel alt vendor qualification.</t>
        </is>
      </c>
      <c r="G11" s="48" t="n">
        <v>45000</v>
      </c>
      <c r="H11" s="43" t="n">
        <v>0</v>
      </c>
      <c r="I11" s="73" t="inlineStr">
        <is>
          <t>HIGH</t>
        </is>
      </c>
      <c r="J11" s="6" t="inlineStr">
        <is>
          <t>S. Kim (Supply Chain)</t>
        </is>
      </c>
      <c r="K11" s="6" t="inlineStr">
        <is>
          <t>VP Supply Chain</t>
        </is>
      </c>
      <c r="L11" s="46" t="inlineStr">
        <is>
          <t>UNDER REVIEW</t>
        </is>
      </c>
      <c r="M11" s="8" t="inlineStr">
        <is>
          <t>Shimadzu evaluation plan drafted. Test units requested. Qualification target: 90 days from Week 10 start.</t>
        </is>
      </c>
    </row>
    <row r="12">
      <c r="A12" s="6" t="inlineStr">
        <is>
          <t>CR-008</t>
        </is>
      </c>
      <c r="B12" s="6" t="inlineStr">
        <is>
          <t>2025-05-05</t>
        </is>
      </c>
      <c r="C12" s="6" t="inlineStr">
        <is>
          <t>EQ-004</t>
        </is>
      </c>
      <c r="D12" s="6" t="inlineStr">
        <is>
          <t>Technical Specification</t>
        </is>
      </c>
      <c r="E12" s="8" t="inlineStr">
        <is>
          <t>Execute JPY/USD forward currency hedge for EQ-004 TEL batch furnace ($1.36M JPY-denominated)</t>
        </is>
      </c>
      <c r="F12" s="8" t="inlineStr">
        <is>
          <t>EQ-004 invoiced in JPY. Finance modelled adverse scenario at 142 JPY/USD — $64K additional cost.</t>
        </is>
      </c>
      <c r="G12" s="6" t="inlineStr">
        <is>
          <t>-</t>
        </is>
      </c>
      <c r="H12" s="43" t="n">
        <v>0</v>
      </c>
      <c r="I12" s="40" t="inlineStr">
        <is>
          <t>LOW</t>
        </is>
      </c>
      <c r="J12" s="6" t="inlineStr">
        <is>
          <t>R. Patel (Finance)</t>
        </is>
      </c>
      <c r="K12" s="6" t="inlineStr">
        <is>
          <t>CFO</t>
        </is>
      </c>
      <c r="L12" s="40" t="inlineStr">
        <is>
          <t>APPROVED — IMPLEMENTED</t>
        </is>
      </c>
      <c r="M12" s="8" t="inlineStr">
        <is>
          <t>Forward contract executed 2025-05-08. Rate locked at 149.0 JPY/USD through Q4-2025.</t>
        </is>
      </c>
    </row>
    <row r="13">
      <c r="A13" s="6" t="inlineStr">
        <is>
          <t>CR-009</t>
        </is>
      </c>
      <c r="B13" s="6" t="inlineStr">
        <is>
          <t>2025-05-12</t>
        </is>
      </c>
      <c r="C13" s="6" t="inlineStr">
        <is>
          <t>EQ-009</t>
        </is>
      </c>
      <c r="D13" s="6" t="inlineStr">
        <is>
          <t>Software / Integration</t>
        </is>
      </c>
      <c r="E13" s="8" t="inlineStr">
        <is>
          <t>Add IT/OT DMZ network infrastructure to CapEx scope to support SCADA cybersecurity compliance</t>
        </is>
      </c>
      <c r="F13" s="8" t="inlineStr">
        <is>
          <t>IT/OT review identified requirement for demilitarised zone (DMZ) per InfoSec policy OT-SEC-003.</t>
        </is>
      </c>
      <c r="G13" s="48" t="n">
        <v>45000</v>
      </c>
      <c r="H13" s="43" t="n">
        <v>0</v>
      </c>
      <c r="I13" s="46" t="inlineStr">
        <is>
          <t>MODERATE</t>
        </is>
      </c>
      <c r="J13" s="6" t="inlineStr">
        <is>
          <t>P. Singh (IT/OT)</t>
        </is>
      </c>
      <c r="K13" s="6" t="inlineStr">
        <is>
          <t>PM — Sourabh Tarodekar</t>
        </is>
      </c>
      <c r="L13" s="46" t="inlineStr">
        <is>
          <t>UNDER REVIEW</t>
        </is>
      </c>
      <c r="M13" s="8" t="inlineStr">
        <is>
          <t>Network design spec in progress. Decision required by Week 15 to avoid impact to SCADA commissioning.</t>
        </is>
      </c>
    </row>
    <row r="14">
      <c r="A14" s="6" t="inlineStr">
        <is>
          <t>CR-010</t>
        </is>
      </c>
      <c r="B14" s="6" t="inlineStr">
        <is>
          <t>2025-05-12</t>
        </is>
      </c>
      <c r="C14" s="6" t="inlineStr">
        <is>
          <t>EQ-005</t>
        </is>
      </c>
      <c r="D14" s="6" t="inlineStr">
        <is>
          <t>Software / Integration</t>
        </is>
      </c>
      <c r="E14" s="8" t="inlineStr">
        <is>
          <t>Engage Brooks Automation software engineer on-site from Week 32 for MES/SEMI E30 software customisation</t>
        </is>
      </c>
      <c r="F14" s="8" t="inlineStr">
        <is>
          <t>Manufacturing review confirmed SEMI E30 compliance required for fab MES interface.</t>
        </is>
      </c>
      <c r="G14" s="48" t="n">
        <v>28000</v>
      </c>
      <c r="H14" s="43" t="n">
        <v>0</v>
      </c>
      <c r="I14" s="46" t="inlineStr">
        <is>
          <t>MODERATE</t>
        </is>
      </c>
      <c r="J14" s="6" t="inlineStr">
        <is>
          <t>A. Novak (Manufacturing)</t>
        </is>
      </c>
      <c r="K14" s="6" t="inlineStr">
        <is>
          <t>Director of Engineering</t>
        </is>
      </c>
      <c r="L14" s="75" t="inlineStr">
        <is>
          <t>APPROVED — PENDING</t>
        </is>
      </c>
      <c r="M14" s="8" t="inlineStr">
        <is>
          <t>Brooks SE engagement confirmed. MES command set document due Week 28. T&amp;E budget allocated.</t>
        </is>
      </c>
    </row>
    <row r="15">
      <c r="A15" s="6" t="inlineStr">
        <is>
          <t>CR-011</t>
        </is>
      </c>
      <c r="B15" s="6" t="inlineStr">
        <is>
          <t>2025-05-19</t>
        </is>
      </c>
      <c r="C15" s="6" t="inlineStr">
        <is>
          <t>EQ-013</t>
        </is>
      </c>
      <c r="D15" s="6" t="inlineStr">
        <is>
          <t>Technical Specification</t>
        </is>
      </c>
      <c r="E15" s="8" t="inlineStr">
        <is>
          <t>Update EQ-013 Roots blower installation sequence — must install after EQ-001 dry screw pumps</t>
        </is>
      </c>
      <c r="F15" s="8" t="inlineStr">
        <is>
          <t>Engineering review confirmed Roots blower (EQ-013) must be installed downstream of dry screw pumps (EQ-001).</t>
        </is>
      </c>
      <c r="G15" s="6" t="inlineStr">
        <is>
          <t>-</t>
        </is>
      </c>
      <c r="H15" s="43" t="n">
        <v>0</v>
      </c>
      <c r="I15" s="40" t="inlineStr">
        <is>
          <t>LOW</t>
        </is>
      </c>
      <c r="J15" s="6" t="inlineStr">
        <is>
          <t>M. Chen (Process Eng.)</t>
        </is>
      </c>
      <c r="K15" s="6" t="inlineStr">
        <is>
          <t>Director of Engineering</t>
        </is>
      </c>
      <c r="L15" s="40" t="inlineStr">
        <is>
          <t>APPROVED — IMPLEMENTED</t>
        </is>
      </c>
      <c r="M15" s="8" t="inlineStr">
        <is>
          <t>Deployment timeline (S09) updated. Install sequence constraint documented in engineering notes.</t>
        </is>
      </c>
    </row>
    <row r="16">
      <c r="A16" s="6" t="inlineStr">
        <is>
          <t>CR-012</t>
        </is>
      </c>
      <c r="B16" s="6" t="inlineStr">
        <is>
          <t>2025-05-19</t>
        </is>
      </c>
      <c r="C16" s="6" t="inlineStr">
        <is>
          <t>EQ-012</t>
        </is>
      </c>
      <c r="D16" s="6" t="inlineStr">
        <is>
          <t>Facility Infrastructure</t>
        </is>
      </c>
      <c r="E16" s="8" t="inlineStr">
        <is>
          <t>Finalize glycol loop design for EQ-012 process chiller — complete engineering package by Week 14</t>
        </is>
      </c>
      <c r="F16" s="8" t="inlineStr">
        <is>
          <t>Mechanical engineering review confirmed glycol loop interface design must be finalized before Daikin FAT drawings.</t>
        </is>
      </c>
      <c r="G16" s="6" t="inlineStr">
        <is>
          <t>-</t>
        </is>
      </c>
      <c r="H16" s="43" t="n">
        <v>1</v>
      </c>
      <c r="I16" s="46" t="inlineStr">
        <is>
          <t>MODERATE</t>
        </is>
      </c>
      <c r="J16" s="6" t="inlineStr">
        <is>
          <t>T. Okonkwo (Facilities)</t>
        </is>
      </c>
      <c r="K16" s="6" t="inlineStr">
        <is>
          <t>PM — Sourabh Tarodekar</t>
        </is>
      </c>
      <c r="L16" s="46" t="inlineStr">
        <is>
          <t>UNDER REVIEW</t>
        </is>
      </c>
      <c r="M16" s="8" t="inlineStr">
        <is>
          <t>Mechanical engineering team completing glycol loop design. Review meeting scheduled Week 13.</t>
        </is>
      </c>
    </row>
    <row r="19" ht="18" customHeight="1">
      <c r="A19" s="105" t="inlineStr">
        <is>
          <t>CHANGE IMPACT SUMMARY</t>
        </is>
      </c>
    </row>
    <row r="20">
      <c r="A20" s="6" t="inlineStr">
        <is>
          <t>Total Change Requests Logged</t>
        </is>
      </c>
      <c r="B20" s="49">
        <f>COUNTA(A5:A16)</f>
        <v/>
      </c>
    </row>
    <row r="21">
      <c r="A21" s="6" t="inlineStr">
        <is>
          <t>Approved and Implemented</t>
        </is>
      </c>
      <c r="B21" s="49">
        <f>COUNTIF(L5:L16,"APPROVED — IMPLEMENTED")</f>
        <v/>
      </c>
    </row>
    <row r="22">
      <c r="A22" s="6" t="inlineStr">
        <is>
          <t>Approved Pending Implementation</t>
        </is>
      </c>
      <c r="B22" s="49">
        <f>COUNTIF(L5:L16,"APPROVED — PENDING")</f>
        <v/>
      </c>
    </row>
    <row r="23">
      <c r="A23" s="6" t="inlineStr">
        <is>
          <t>Total Under Review</t>
        </is>
      </c>
      <c r="B23" s="49">
        <f>COUNTIF(L5:L16,"UNDER REVIEW")</f>
        <v/>
      </c>
    </row>
    <row r="24">
      <c r="A24" s="6" t="inlineStr">
        <is>
          <t>Cumulative Cost Impact (USD)</t>
        </is>
      </c>
      <c r="B24" s="50">
        <f>SUMIF(G5:G16,"&gt;0")</f>
        <v/>
      </c>
    </row>
    <row r="25">
      <c r="A25" s="6" t="inlineStr">
        <is>
          <t>Schedule Impact (wks)</t>
        </is>
      </c>
      <c r="B25" s="49">
        <f>SUM(H5:H16)</f>
        <v/>
      </c>
    </row>
    <row r="26">
      <c r="A26" s="6" t="inlineStr">
        <is>
          <t>HIGH or CRITICAL Budget Risk</t>
        </is>
      </c>
      <c r="B26" s="49">
        <f>COUNTIF(I5:I16,"HIGH")+COUNTIF(I5:I16,"CRITICAL")</f>
        <v/>
      </c>
    </row>
    <row r="27">
      <c r="A27" s="6" t="inlineStr">
        <is>
          <t>Contingency Reserve Used (vs S12 AR Contingency Reserve)</t>
        </is>
      </c>
      <c r="B27" s="101">
        <f>B24/'S12_AR_Summary'!F24</f>
        <v/>
      </c>
    </row>
  </sheetData>
  <mergeCells count="3">
    <mergeCell ref="A2:M2"/>
    <mergeCell ref="A1:M1"/>
    <mergeCell ref="A19:B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2026-07-13T16:09:01Z</dcterms:created>
  <dcterms:modified xsi:type="dcterms:W3CDTF">2026-07-13T16:09:02Z</dcterms:modified>
</cp:coreProperties>
</file>